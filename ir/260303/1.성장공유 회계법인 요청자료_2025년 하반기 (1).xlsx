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관리자\Desktop\수현작업\202509\20250902_중진공 현장실사\"/>
    </mc:Choice>
  </mc:AlternateContent>
  <xr:revisionPtr revIDLastSave="0" documentId="13_ncr:1_{1A12368B-E1A4-4234-80A9-E9CF97E43819}" xr6:coauthVersionLast="47" xr6:coauthVersionMax="47" xr10:uidLastSave="{00000000-0000-0000-0000-000000000000}"/>
  <bookViews>
    <workbookView xWindow="30285" yWindow="420" windowWidth="23565" windowHeight="28650" activeTab="4" xr2:uid="{00000000-000D-0000-FFFF-FFFF00000000}"/>
  </bookViews>
  <sheets>
    <sheet name="요청자료 목록" sheetId="12" r:id="rId1"/>
    <sheet name="자료작성" sheetId="10" r:id="rId2"/>
    <sheet name="사업성분석 등" sheetId="11" r:id="rId3"/>
    <sheet name="추정손익계산서" sheetId="5" r:id="rId4"/>
    <sheet name="매출액추정" sheetId="6" r:id="rId5"/>
    <sheet name="제조원가추정" sheetId="7" r:id="rId6"/>
    <sheet name="판관비추정" sheetId="8" r:id="rId7"/>
    <sheet name="영업외수익,비용" sheetId="9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123Graph_A" localSheetId="0" hidden="1">[1]시산표!#REF!</definedName>
    <definedName name="__123Graph_A" hidden="1">[1]시산표!#REF!</definedName>
    <definedName name="__123Graph_B" localSheetId="0" hidden="1">[1]시산표!#REF!</definedName>
    <definedName name="__123Graph_B" hidden="1">[1]시산표!#REF!</definedName>
    <definedName name="__123Graph_D" localSheetId="0" hidden="1">[2]IS!#REF!</definedName>
    <definedName name="__123Graph_D" hidden="1">[2]IS!#REF!</definedName>
    <definedName name="__123Graph_E" localSheetId="0" hidden="1">'[3]-200'!#REF!</definedName>
    <definedName name="__123Graph_E" hidden="1">'[3]-200'!#REF!</definedName>
    <definedName name="__123Graph_F" localSheetId="0" hidden="1">'[4]00''미수'!#REF!</definedName>
    <definedName name="__123Graph_F" hidden="1">'[4]00''미수'!#REF!</definedName>
    <definedName name="__123Graph_LBL_A" localSheetId="0" hidden="1">[1]시산표!#REF!</definedName>
    <definedName name="__123Graph_LBL_A" hidden="1">[1]시산표!#REF!</definedName>
    <definedName name="__123Graph_LBL_B" localSheetId="0" hidden="1">[1]시산표!#REF!</definedName>
    <definedName name="__123Graph_LBL_B" hidden="1">[1]시산표!#REF!</definedName>
    <definedName name="__123Graph_X" localSheetId="0" hidden="1">[1]시산표!#REF!</definedName>
    <definedName name="__123Graph_X" hidden="1">[1]시산표!#REF!</definedName>
    <definedName name="__IntlFixup" hidden="1">TRUE</definedName>
    <definedName name="__KEY2" localSheetId="0" hidden="1">#REF!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localSheetId="0" hidden="1">#REF!</definedName>
    <definedName name="_Fill" hidden="1">#REF!</definedName>
    <definedName name="_xlnm._FilterDatabase" hidden="1">#N/A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MatInverse_In" localSheetId="0" hidden="1">[2]IS!#REF!</definedName>
    <definedName name="_MatInverse_In" hidden="1">[2]IS!#REF!</definedName>
    <definedName name="_MatInverse_Out" localSheetId="0" hidden="1">#REF!</definedName>
    <definedName name="_MatInverse_Out" hidden="1">#REF!</definedName>
    <definedName name="_MatMult_A" hidden="1">#N/A</definedName>
    <definedName name="_MatMult_AxB" hidden="1">#N/A</definedName>
    <definedName name="_MatMult_B" localSheetId="0" hidden="1">#REF!</definedName>
    <definedName name="_MatMult_B" hidden="1">#REF!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localSheetId="0" hidden="1">#REF!</definedName>
    <definedName name="_Sort" hidden="1">#REF!</definedName>
    <definedName name="\\" hidden="1">{#N/A,#N/A,FALSE,"Aging Summary";#N/A,#N/A,FALSE,"Ratio Analysis";#N/A,#N/A,FALSE,"Test 120 Day Accts";#N/A,#N/A,FALSE,"Tickmarks"}</definedName>
    <definedName name="a" hidden="1">{#N/A,#N/A,FALSE,"BS";#N/A,#N/A,FALSE,"PL";#N/A,#N/A,FALSE,"처분";#N/A,#N/A,FALSE,"현금";#N/A,#N/A,FALSE,"매출";#N/A,#N/A,FALSE,"원가";#N/A,#N/A,FALSE,"경영"}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kak" localSheetId="0" hidden="1">[5]시산표!#REF!</definedName>
    <definedName name="akak" hidden="1">[5]시산표!#REF!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taticLS" localSheetId="0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Q" hidden="1">{#N/A,#N/A,FALSE,"총괄수정"}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apital" hidden="1">{#N/A,#N/A,FALSE,"BS";#N/A,#N/A,FALSE,"PL";#N/A,#N/A,FALSE,"처분";#N/A,#N/A,FALSE,"현금";#N/A,#N/A,FALSE,"매출";#N/A,#N/A,FALSE,"원가";#N/A,#N/A,FALSE,"경영"}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f검증" hidden="1">{#N/A,#N/A,FALSE,"BS";#N/A,#N/A,FALSE,"PL";#N/A,#N/A,FALSE,"처분";#N/A,#N/A,FALSE,"현금";#N/A,#N/A,FALSE,"매출";#N/A,#N/A,FALSE,"원가";#N/A,#N/A,FALSE,"경영"}</definedName>
    <definedName name="CF검증조서2기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ATABASE1" localSheetId="0" hidden="1">#REF!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EV__LASTREFTIME__" hidden="1">"2010-11-25 오후 5:06:57"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localSheetId="0" hidden="1">[6]INDEX!#REF!</definedName>
    <definedName name="pay" hidden="1">[6]INDEX!#REF!</definedName>
    <definedName name="payment1" localSheetId="0" hidden="1">'[6]3100'!#REF!</definedName>
    <definedName name="payment1" hidden="1">'[6]3100'!#REF!</definedName>
    <definedName name="PL" hidden="1">{#N/A,#N/A,FALSE,"BS";#N/A,#N/A,FALSE,"PL";#N/A,#N/A,FALSE,"처분";#N/A,#N/A,FALSE,"현금";#N/A,#N/A,FALSE,"매출";#N/A,#N/A,FALSE,"원가";#N/A,#N/A,FALSE,"경영"}</definedName>
    <definedName name="_xlnm.Print_Area" localSheetId="0">'요청자료 목록'!$A$1:$N$44</definedName>
    <definedName name="_xlnm.Print_Area" localSheetId="5">제조원가추정!$A$1:$Q$43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QKFQL" localSheetId="0" hidden="1">#REF!</definedName>
    <definedName name="ROQKFQL" hidden="1">#REF!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test" hidden="1">{#N/A,#N/A,FALSE,"BS";#N/A,#N/A,FALSE,"PL";#N/A,#N/A,FALSE,"처분";#N/A,#N/A,FALSE,"현금";#N/A,#N/A,FALSE,"매출";#N/A,#N/A,FALSE,"원가";#N/A,#N/A,FALSE,"경영"}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기술료._.비교." hidden="1">{#N/A,#N/A,FALSE,"기술료 비교"}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에금차입금명세." hidden="1">{#N/A,#N/A,FALSE,"Sheet3"}</definedName>
    <definedName name="wrn.전부인쇄." hidden="1">{#N/A,#N/A,FALSE,"단축1";#N/A,#N/A,FALSE,"단축2";#N/A,#N/A,FALSE,"단축3";#N/A,#N/A,FALSE,"장축";#N/A,#N/A,FALSE,"4WD"}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총괄._.수정." hidden="1">{#N/A,#N/A,FALSE,"총괄수정"}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REF_COLUMN_1" localSheetId="0" hidden="1">#REF!</definedName>
    <definedName name="XREF_COLUMN_1" hidden="1">#REF!</definedName>
    <definedName name="XREF_COLUMN_10" localSheetId="0" hidden="1">[7]유형자산리드!#REF!</definedName>
    <definedName name="XREF_COLUMN_10" hidden="1">[7]유형자산리드!#REF!</definedName>
    <definedName name="XREF_COLUMN_11" localSheetId="0" hidden="1">[7]유형자산리드!#REF!</definedName>
    <definedName name="XREF_COLUMN_11" hidden="1">[7]유형자산리드!#REF!</definedName>
    <definedName name="XREF_COLUMN_110" localSheetId="0" hidden="1">[8]감가상각LS!#REF!</definedName>
    <definedName name="XREF_COLUMN_110" hidden="1">[8]감가상각LS!#REF!</definedName>
    <definedName name="XREF_COLUMN_12" localSheetId="0" hidden="1">[7]유형자산리드!#REF!</definedName>
    <definedName name="XREF_COLUMN_12" hidden="1">[7]유형자산리드!#REF!</definedName>
    <definedName name="XREF_COLUMN_13" localSheetId="0" hidden="1">'[9]채권조회서 Roll-forward test'!#REF!</definedName>
    <definedName name="XREF_COLUMN_13" hidden="1">'[9]채권조회서 Roll-forward test'!#REF!</definedName>
    <definedName name="XREF_COLUMN_14" localSheetId="0" hidden="1">'[9]채권조회서 Roll-forward test'!#REF!</definedName>
    <definedName name="XREF_COLUMN_14" hidden="1">'[9]채권조회서 Roll-forward test'!#REF!</definedName>
    <definedName name="XREF_COLUMN_15" localSheetId="0" hidden="1">'[9]채권조회서 Roll-forward test'!#REF!</definedName>
    <definedName name="XREF_COLUMN_15" hidden="1">'[9]채권조회서 Roll-forward test'!#REF!</definedName>
    <definedName name="XREF_COLUMN_16" hidden="1">#N/A</definedName>
    <definedName name="XREF_COLUMN_17" localSheetId="0" hidden="1">[10]BS!#REF!</definedName>
    <definedName name="XREF_COLUMN_17" hidden="1">[10]BS!#REF!</definedName>
    <definedName name="XREF_COLUMN_18" hidden="1">#N/A</definedName>
    <definedName name="XREF_COLUMN_19" localSheetId="0" hidden="1">#REF!</definedName>
    <definedName name="XREF_COLUMN_19" hidden="1">#REF!</definedName>
    <definedName name="XREF_COLUMN_2" localSheetId="0" hidden="1">#REF!</definedName>
    <definedName name="XREF_COLUMN_2" hidden="1">#REF!</definedName>
    <definedName name="XREF_COLUMN_20" hidden="1">#N/A</definedName>
    <definedName name="XREF_COLUMN_21" localSheetId="0" hidden="1">[6]INDEX!#REF!</definedName>
    <definedName name="XREF_COLUMN_21" hidden="1">[6]INDEX!#REF!</definedName>
    <definedName name="XREF_COLUMN_22" hidden="1">'[11]LS (2)'!$D$1:$D$65536</definedName>
    <definedName name="XREF_COLUMN_23" hidden="1">#N/A</definedName>
    <definedName name="XREF_COLUMN_24" hidden="1">'[11]건물 (2)'!$K$1:$K$65536</definedName>
    <definedName name="XREF_COLUMN_25" hidden="1">'[11]유선방송설비 (2)'!$D$1:$D$65536</definedName>
    <definedName name="XREF_COLUMN_26" hidden="1">'[11]차량운반구 (2)'!$D$1:$D$65536</definedName>
    <definedName name="XREF_COLUMN_27" hidden="1">'[11]전송선로설비 (2)'!$D$1:$D$65536</definedName>
    <definedName name="XREF_COLUMN_28" hidden="1">'[11]집기비품 (2)'!$D$1:$D$65536</definedName>
    <definedName name="XREF_COLUMN_29" hidden="1">'[11]공구기구 (2)'!$D$1:$D$65536</definedName>
    <definedName name="XREF_COLUMN_3" localSheetId="0" hidden="1">#REF!</definedName>
    <definedName name="XREF_COLUMN_3" hidden="1">#REF!</definedName>
    <definedName name="XREF_COLUMN_30" hidden="1">'[11]건물 (2)'!$I$1:$I$65536</definedName>
    <definedName name="XREF_COLUMN_31" hidden="1">'[11]유선방송설비 (2)'!$I$1:$I$65536</definedName>
    <definedName name="XREF_COLUMN_32" localSheetId="0" hidden="1">'[6]1100'!#REF!</definedName>
    <definedName name="XREF_COLUMN_32" hidden="1">'[6]1100'!#REF!</definedName>
    <definedName name="XREF_COLUMN_33" hidden="1">'[11]전송선로설비 (2)'!$I$1:$I$65536</definedName>
    <definedName name="XREF_COLUMN_34" hidden="1">#N/A</definedName>
    <definedName name="XREF_COLUMN_35" hidden="1">'[11]공구기구 (2)'!$I$1:$I$65536</definedName>
    <definedName name="XREF_COLUMN_36" hidden="1">#N/A</definedName>
    <definedName name="XREF_COLUMN_37" localSheetId="0" hidden="1">#REF!</definedName>
    <definedName name="XREF_COLUMN_37" hidden="1">#REF!</definedName>
    <definedName name="XREF_COLUMN_38" hidden="1">'[11]구축물 (2)'!$M$1:$M$65536</definedName>
    <definedName name="XREF_COLUMN_39" hidden="1">'[11]유선방송설비 (2)'!$O$1:$O$65536</definedName>
    <definedName name="XREF_COLUMN_4" localSheetId="0" hidden="1">#REF!</definedName>
    <definedName name="XREF_COLUMN_4" hidden="1">#REF!</definedName>
    <definedName name="XREF_COLUMN_40" hidden="1">'[11]차량운반구 (2)'!$O$1:$O$65536</definedName>
    <definedName name="XREF_COLUMN_41" hidden="1">'[11]전송선로설비 (2)'!$O$1:$O$65536</definedName>
    <definedName name="XREF_COLUMN_42" hidden="1">'[11]집기비품 (2)'!$O$1:$O$65536</definedName>
    <definedName name="XREF_COLUMN_43" hidden="1">'[11]컨버터 (2)'!$M$1:$M$65536</definedName>
    <definedName name="XREF_COLUMN_44" hidden="1">'[11]공구기구 (2)'!$O$1:$O$65536</definedName>
    <definedName name="XREF_COLUMN_45" hidden="1">'[11]건물 (2)'!$R$1:$R$65536</definedName>
    <definedName name="XREF_COLUMN_46" localSheetId="0" hidden="1">#REF!</definedName>
    <definedName name="XREF_COLUMN_46" hidden="1">#REF!</definedName>
    <definedName name="XREF_COLUMN_47" hidden="1">'[11]구축물 (2)'!$O$1:$O$65536</definedName>
    <definedName name="XREF_COLUMN_48" hidden="1">'[11]유선방송설비 (2)'!$Q$1:$Q$65536</definedName>
    <definedName name="XREF_COLUMN_49" hidden="1">'[11]차량운반구 (2)'!$Q$1:$Q$65536</definedName>
    <definedName name="XREF_COLUMN_5" localSheetId="0" hidden="1">#REF!</definedName>
    <definedName name="XREF_COLUMN_5" hidden="1">#REF!</definedName>
    <definedName name="XREF_COLUMN_50" hidden="1">'[11]전송선로설비 (2)'!$Q$1:$Q$65536</definedName>
    <definedName name="XREF_COLUMN_51" hidden="1">'[11]컨버터 (2)'!$O$1:$O$65536</definedName>
    <definedName name="XREF_COLUMN_52" hidden="1">'[11]집기비품 (2)'!$Q$1:$Q$65536</definedName>
    <definedName name="XREF_COLUMN_53" hidden="1">'[11]공구기구 (2)'!$Q$1:$Q$65536</definedName>
    <definedName name="XREF_COLUMN_54" localSheetId="0" hidden="1">#REF!</definedName>
    <definedName name="XREF_COLUMN_54" hidden="1">#REF!</definedName>
    <definedName name="XREF_COLUMN_55" hidden="1">'[11]건물 (2)'!$AA$1:$AA$65536</definedName>
    <definedName name="XREF_COLUMN_56" localSheetId="0" hidden="1">#REF!</definedName>
    <definedName name="XREF_COLUMN_56" hidden="1">#REF!</definedName>
    <definedName name="XREF_COLUMN_57" hidden="1">'[11]건물 (2)'!$Y$1:$Y$65536</definedName>
    <definedName name="XREF_COLUMN_58" hidden="1">'[11]건물 (2)'!$W$1:$W$65536</definedName>
    <definedName name="XREF_COLUMN_59" hidden="1">'[11]구축물 (2)'!$S$1:$S$65536</definedName>
    <definedName name="XREF_COLUMN_6" localSheetId="0" hidden="1">#REF!</definedName>
    <definedName name="XREF_COLUMN_6" hidden="1">#REF!</definedName>
    <definedName name="XREF_COLUMN_60" localSheetId="0" hidden="1">#REF!</definedName>
    <definedName name="XREF_COLUMN_60" hidden="1">#REF!</definedName>
    <definedName name="XREF_COLUMN_61" hidden="1">'[11]유선방송설비 (2)'!$Z$1:$Z$65536</definedName>
    <definedName name="XREF_COLUMN_62" hidden="1">'[11]유선방송설비 (2)'!$V$1:$V$65536</definedName>
    <definedName name="XREF_COLUMN_63" hidden="1">'[11]유선방송설비 (2)'!$X$1:$X$65536</definedName>
    <definedName name="XREF_COLUMN_64" hidden="1">'[11]차량운반구 (2)'!$Z$1:$Z$65536</definedName>
    <definedName name="XREF_COLUMN_65" hidden="1">'[11]차량운반구 (2)'!$X$1:$X$65536</definedName>
    <definedName name="XREF_COLUMN_66" hidden="1">'[11]차량운반구 (2)'!$V$1:$V$65536</definedName>
    <definedName name="XREF_COLUMN_67" hidden="1">'[11]전송선로설비 (2)'!$Z$1:$Z$65536</definedName>
    <definedName name="XREF_COLUMN_68" hidden="1">'[11]전송선로설비 (2)'!$X$1:$X$65536</definedName>
    <definedName name="XREF_COLUMN_69" hidden="1">'[11]전송선로설비 (2)'!$V$1:$V$65536</definedName>
    <definedName name="XREF_COLUMN_7" localSheetId="0" hidden="1">#REF!</definedName>
    <definedName name="XREF_COLUMN_7" hidden="1">#REF!</definedName>
    <definedName name="XREF_COLUMN_70" hidden="1">'[11]컨버터 (2)'!$S$1:$S$65536</definedName>
    <definedName name="XREF_COLUMN_71" hidden="1">'[11]집기비품 (2)'!$Z$1:$Z$65536</definedName>
    <definedName name="XREF_COLUMN_72" hidden="1">'[11]집기비품 (2)'!$V$1:$V$65536</definedName>
    <definedName name="XREF_COLUMN_73" hidden="1">'[11]집기비품 (2)'!$X$1:$X$65536</definedName>
    <definedName name="XREF_COLUMN_74" hidden="1">'[11]공구기구 (2)'!$X$1:$X$65536</definedName>
    <definedName name="XREF_COLUMN_75" hidden="1">'[11]공구기구 (2)'!$T$1:$T$65536</definedName>
    <definedName name="XREF_COLUMN_76" hidden="1">'[11]공구기구 (2)'!$V$1:$V$65536</definedName>
    <definedName name="XREF_COLUMN_77" localSheetId="0" hidden="1">'[8]LS '!#REF!</definedName>
    <definedName name="XREF_COLUMN_77" hidden="1">'[8]LS '!#REF!</definedName>
    <definedName name="XREF_COLUMN_79" localSheetId="0" hidden="1">'[8]LS '!#REF!</definedName>
    <definedName name="XREF_COLUMN_79" hidden="1">'[8]LS '!#REF!</definedName>
    <definedName name="XREF_COLUMN_8" localSheetId="0" hidden="1">[7]유형자산리드!#REF!</definedName>
    <definedName name="XREF_COLUMN_8" hidden="1">[7]유형자산리드!#REF!</definedName>
    <definedName name="XREF_COLUMN_81" localSheetId="0" hidden="1">'[8]LS '!#REF!</definedName>
    <definedName name="XREF_COLUMN_81" hidden="1">'[8]LS '!#REF!</definedName>
    <definedName name="XREF_COLUMN_83" localSheetId="0" hidden="1">'[8]LS '!#REF!</definedName>
    <definedName name="XREF_COLUMN_83" hidden="1">'[8]LS '!#REF!</definedName>
    <definedName name="XREF_COLUMN_87" localSheetId="0" hidden="1">'[8]LS '!#REF!</definedName>
    <definedName name="XREF_COLUMN_87" hidden="1">'[8]LS '!#REF!</definedName>
    <definedName name="XREF_COLUMN_89" localSheetId="0" hidden="1">'[8]LS '!#REF!</definedName>
    <definedName name="XREF_COLUMN_89" hidden="1">'[8]LS '!#REF!</definedName>
    <definedName name="XREF_COLUMN_9" localSheetId="0" hidden="1">[7]유형자산리드!#REF!</definedName>
    <definedName name="XREF_COLUMN_9" hidden="1">[7]유형자산리드!#REF!</definedName>
    <definedName name="XREF_COLUMN_91" localSheetId="0" hidden="1">'[8]LS '!#REF!</definedName>
    <definedName name="XREF_COLUMN_91" hidden="1">'[8]LS '!#REF!</definedName>
    <definedName name="XREF_COLUMN_93" localSheetId="0" hidden="1">'[8]LS '!#REF!</definedName>
    <definedName name="XREF_COLUMN_93" hidden="1">'[8]LS '!#REF!</definedName>
    <definedName name="XREF_COLUMN_95" localSheetId="0" hidden="1">'[8]LS '!#REF!</definedName>
    <definedName name="XREF_COLUMN_95" hidden="1">'[8]LS '!#REF!</definedName>
    <definedName name="XREF_COLUMN_97" localSheetId="0" hidden="1">'[8]LS '!#REF!</definedName>
    <definedName name="XREF_COLUMN_97" hidden="1">'[8]LS '!#REF!</definedName>
    <definedName name="XRefActiveRow" localSheetId="0" hidden="1">#REF!</definedName>
    <definedName name="XRefActiveRow" hidden="1">#REF!</definedName>
    <definedName name="XRefColumnsCount" hidden="1">7</definedName>
    <definedName name="XRefCopy1" localSheetId="0" hidden="1">#REF!</definedName>
    <definedName name="XRefCopy1" hidden="1">#REF!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" localSheetId="0" hidden="1">#REF!</definedName>
    <definedName name="XRefCopy101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" localSheetId="0" hidden="1">#REF!</definedName>
    <definedName name="XRefCopy104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" localSheetId="0" hidden="1">#REF!</definedName>
    <definedName name="XRefCopy106" hidden="1">#REF!</definedName>
    <definedName name="XRefCopy106Row" hidden="1">#N/A</definedName>
    <definedName name="XRefCopy107" localSheetId="0" hidden="1">#REF!</definedName>
    <definedName name="XRefCopy107" hidden="1">#REF!</definedName>
    <definedName name="XRefCopy108" localSheetId="0" hidden="1">#REF!</definedName>
    <definedName name="XRefCopy108" hidden="1">#REF!</definedName>
    <definedName name="XRefCopy108Row" hidden="1">#N/A</definedName>
    <definedName name="XRefCopy109" localSheetId="0" hidden="1">#REF!</definedName>
    <definedName name="XRefCopy109" hidden="1">#REF!</definedName>
    <definedName name="XRefCopy109Row" hidden="1">#N/A</definedName>
    <definedName name="XRefCopy10Row" localSheetId="0" hidden="1">#REF!</definedName>
    <definedName name="XRefCopy10Row" hidden="1">#REF!</definedName>
    <definedName name="XRefCopy11" localSheetId="0" hidden="1">#REF!</definedName>
    <definedName name="XRefCopy11" hidden="1">#REF!</definedName>
    <definedName name="XRefCopy110" localSheetId="0" hidden="1">#REF!</definedName>
    <definedName name="XRefCopy110" hidden="1">#REF!</definedName>
    <definedName name="XRefCopy111" localSheetId="0" hidden="1">#REF!</definedName>
    <definedName name="XRefCopy1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localSheetId="0" hidden="1">#REF!</definedName>
    <definedName name="XRefCopy11Row" hidden="1">#REF!</definedName>
    <definedName name="XRefCopy12" localSheetId="0" hidden="1">#REF!</definedName>
    <definedName name="XRefCopy12" hidden="1">#REF!</definedName>
    <definedName name="XRefCopy120" localSheetId="0" hidden="1">[6]INDEX!#REF!</definedName>
    <definedName name="XRefCopy120" hidden="1">[6]INDEX!#REF!</definedName>
    <definedName name="XRefCopy122Row" hidden="1">#N/A</definedName>
    <definedName name="XRefCopy123Row" hidden="1">#N/A</definedName>
    <definedName name="XRefCopy124Row" localSheetId="0" hidden="1">[6]INDEX!#REF!</definedName>
    <definedName name="XRefCopy124Row" hidden="1">[6]INDEX!#REF!</definedName>
    <definedName name="XRefCopy125Row" localSheetId="0" hidden="1">[6]INDEX!#REF!</definedName>
    <definedName name="XRefCopy125Row" hidden="1">[6]INDEX!#REF!</definedName>
    <definedName name="XRefCopy126Row" localSheetId="0" hidden="1">[6]INDEX!#REF!</definedName>
    <definedName name="XRefCopy126Row" hidden="1">[6]INDEX!#REF!</definedName>
    <definedName name="XRefCopy12Row" localSheetId="0" hidden="1">#REF!</definedName>
    <definedName name="XRefCopy12Row" hidden="1">#REF!</definedName>
    <definedName name="XRefCopy13" localSheetId="0" hidden="1">#REF!</definedName>
    <definedName name="XRefCopy13" hidden="1">#REF!</definedName>
    <definedName name="XRefCopy13Row" localSheetId="0" hidden="1">#REF!</definedName>
    <definedName name="XRefCopy13Row" hidden="1">#REF!</definedName>
    <definedName name="XRefCopy14" localSheetId="0" hidden="1">#REF!</definedName>
    <definedName name="XRefCopy14" hidden="1">#REF!</definedName>
    <definedName name="XRefCopy14Row" localSheetId="0" hidden="1">[12]XREF!#REF!</definedName>
    <definedName name="XRefCopy14Row" hidden="1">[12]XREF!#REF!</definedName>
    <definedName name="XRefCopy15" localSheetId="0" hidden="1">#REF!</definedName>
    <definedName name="XRefCopy15" hidden="1">#REF!</definedName>
    <definedName name="XRefCopy15Row" hidden="1">#N/A</definedName>
    <definedName name="XRefCopy16" localSheetId="0" hidden="1">#REF!</definedName>
    <definedName name="XRefCopy16" hidden="1">#REF!</definedName>
    <definedName name="XRefCopy16Row" hidden="1">#N/A</definedName>
    <definedName name="XRefCopy17" localSheetId="0" hidden="1">#REF!</definedName>
    <definedName name="XRefCopy17" hidden="1">#REF!</definedName>
    <definedName name="XRefCopy17Row" hidden="1">#N/A</definedName>
    <definedName name="XRefCopy18" localSheetId="0" hidden="1">#REF!</definedName>
    <definedName name="XRefCopy18" hidden="1">#REF!</definedName>
    <definedName name="XRefCopy18Row" hidden="1">#N/A</definedName>
    <definedName name="XRefCopy19" localSheetId="0" hidden="1">#REF!</definedName>
    <definedName name="XRefCopy19" hidden="1">#REF!</definedName>
    <definedName name="XRefCopy19Row" hidden="1">#N/A</definedName>
    <definedName name="XRefCopy1Row" localSheetId="0" hidden="1">#REF!</definedName>
    <definedName name="XRefCopy1Row" hidden="1">#REF!</definedName>
    <definedName name="XRefCopy2" localSheetId="0" hidden="1">#REF!</definedName>
    <definedName name="XRefCopy2" hidden="1">#REF!</definedName>
    <definedName name="XRefCopy20" localSheetId="0" hidden="1">#REF!</definedName>
    <definedName name="XRefCopy20" hidden="1">#REF!</definedName>
    <definedName name="XRefCopy20Row" hidden="1">#N/A</definedName>
    <definedName name="XRefCopy21" localSheetId="0" hidden="1">#REF!</definedName>
    <definedName name="XRefCopy21" hidden="1">#REF!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localSheetId="0" hidden="1">#REF!</definedName>
    <definedName name="XRefCopy2Row" hidden="1">#REF!</definedName>
    <definedName name="XRefCopy3" localSheetId="0" hidden="1">[13]사발차!#REF!</definedName>
    <definedName name="XRefCopy3" hidden="1">[13]사발차!#REF!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localSheetId="0" hidden="1">#REF!</definedName>
    <definedName name="XRefCopy3Row" hidden="1">#REF!</definedName>
    <definedName name="XRefCopy4" localSheetId="0" hidden="1">#REF!</definedName>
    <definedName name="XRefCopy4" hidden="1">#REF!</definedName>
    <definedName name="XRefCopy40" localSheetId="0" hidden="1">#REF!</definedName>
    <definedName name="XRefCopy40" hidden="1">#REF!</definedName>
    <definedName name="XRefCopy40Row" hidden="1">#N/A</definedName>
    <definedName name="XRefCopy41" localSheetId="0" hidden="1">#REF!</definedName>
    <definedName name="XRefCopy41" hidden="1">#REF!</definedName>
    <definedName name="XRefCopy41Row" hidden="1">#N/A</definedName>
    <definedName name="XRefCopy42" localSheetId="0" hidden="1">#REF!</definedName>
    <definedName name="XRefCopy42" hidden="1">#REF!</definedName>
    <definedName name="XRefCopy42Row" hidden="1">#N/A</definedName>
    <definedName name="XRefCopy43" localSheetId="0" hidden="1">#REF!</definedName>
    <definedName name="XRefCopy43" hidden="1">#REF!</definedName>
    <definedName name="XRefCopy43Row" hidden="1">#N/A</definedName>
    <definedName name="XRefCopy44" localSheetId="0" hidden="1">#REF!</definedName>
    <definedName name="XRefCopy44" hidden="1">#REF!</definedName>
    <definedName name="XRefCopy44Row" hidden="1">#N/A</definedName>
    <definedName name="XRefCopy45" localSheetId="0" hidden="1">#REF!</definedName>
    <definedName name="XRefCopy45" hidden="1">#REF!</definedName>
    <definedName name="XRefCopy45Row" hidden="1">#N/A</definedName>
    <definedName name="XRefCopy46" localSheetId="0" hidden="1">#REF!</definedName>
    <definedName name="XRefCopy46" hidden="1">#REF!</definedName>
    <definedName name="XRefCopy46Row" hidden="1">#N/A</definedName>
    <definedName name="XRefCopy47" localSheetId="0" hidden="1">#REF!</definedName>
    <definedName name="XRefCopy47" hidden="1">#REF!</definedName>
    <definedName name="XRefCopy47Row" hidden="1">#N/A</definedName>
    <definedName name="XRefCopy48" localSheetId="0" hidden="1">#REF!</definedName>
    <definedName name="XRefCopy48" hidden="1">#REF!</definedName>
    <definedName name="XRefCopy48Row" hidden="1">#N/A</definedName>
    <definedName name="XRefCopy49" localSheetId="0" hidden="1">#REF!</definedName>
    <definedName name="XRefCopy49" hidden="1">#REF!</definedName>
    <definedName name="XRefCopy49Row" hidden="1">#N/A</definedName>
    <definedName name="XRefCopy4Row" localSheetId="0" hidden="1">#REF!</definedName>
    <definedName name="XRefCopy4Row" hidden="1">#REF!</definedName>
    <definedName name="XRefCopy5" localSheetId="0" hidden="1">#REF!</definedName>
    <definedName name="XRefCopy5" hidden="1">#REF!</definedName>
    <definedName name="XRefCopy50" localSheetId="0" hidden="1">#REF!</definedName>
    <definedName name="XRefCopy50" hidden="1">#REF!</definedName>
    <definedName name="XRefCopy50Row" hidden="1">#N/A</definedName>
    <definedName name="XRefCopy51" localSheetId="0" hidden="1">#REF!</definedName>
    <definedName name="XRefCopy51" hidden="1">#REF!</definedName>
    <definedName name="XRefCopy51Row" hidden="1">#N/A</definedName>
    <definedName name="XRefCopy52" localSheetId="0" hidden="1">#REF!</definedName>
    <definedName name="XRefCopy52" hidden="1">#REF!</definedName>
    <definedName name="XRefCopy52Row" hidden="1">#N/A</definedName>
    <definedName name="XRefCopy53" localSheetId="0" hidden="1">#REF!</definedName>
    <definedName name="XRefCopy53" hidden="1">#REF!</definedName>
    <definedName name="XRefCopy53Row" hidden="1">#N/A</definedName>
    <definedName name="XRefCopy54" localSheetId="0" hidden="1">#REF!</definedName>
    <definedName name="XRefCopy54" hidden="1">#REF!</definedName>
    <definedName name="XRefCopy54Row" hidden="1">#N/A</definedName>
    <definedName name="XRefCopy55" localSheetId="0" hidden="1">#REF!</definedName>
    <definedName name="XRefCopy55" hidden="1">#REF!</definedName>
    <definedName name="XRefCopy56" localSheetId="0" hidden="1">#REF!</definedName>
    <definedName name="XRefCopy56" hidden="1">#REF!</definedName>
    <definedName name="XRefCopy56Row" hidden="1">#N/A</definedName>
    <definedName name="XRefCopy57" localSheetId="0" hidden="1">#REF!</definedName>
    <definedName name="XRefCopy57" hidden="1">#REF!</definedName>
    <definedName name="XRefCopy57Row" hidden="1">#N/A</definedName>
    <definedName name="XRefCopy58" localSheetId="0" hidden="1">#REF!</definedName>
    <definedName name="XRefCopy58" hidden="1">#REF!</definedName>
    <definedName name="XRefCopy58Row" hidden="1">#N/A</definedName>
    <definedName name="XRefCopy59" localSheetId="0" hidden="1">#REF!</definedName>
    <definedName name="XRefCopy59" hidden="1">#REF!</definedName>
    <definedName name="XRefCopy59Row" hidden="1">#N/A</definedName>
    <definedName name="XRefCopy5Row" localSheetId="0" hidden="1">#REF!</definedName>
    <definedName name="XRefCopy5Row" hidden="1">#REF!</definedName>
    <definedName name="XRefCopy6" localSheetId="0" hidden="1">[13]사발차!#REF!</definedName>
    <definedName name="XRefCopy6" hidden="1">[13]사발차!#REF!</definedName>
    <definedName name="XRefCopy60" localSheetId="0" hidden="1">#REF!</definedName>
    <definedName name="XRefCopy60" hidden="1">#REF!</definedName>
    <definedName name="XRefCopy60Row" hidden="1">#N/A</definedName>
    <definedName name="XRefCopy61" localSheetId="0" hidden="1">#REF!</definedName>
    <definedName name="XRefCopy61" hidden="1">#REF!</definedName>
    <definedName name="XRefCopy61Row" hidden="1">#N/A</definedName>
    <definedName name="XRefCopy62" localSheetId="0" hidden="1">#REF!</definedName>
    <definedName name="XRefCopy62" hidden="1">#REF!</definedName>
    <definedName name="XRefCopy62Row" hidden="1">#N/A</definedName>
    <definedName name="XRefCopy63" localSheetId="0" hidden="1">#REF!</definedName>
    <definedName name="XRefCopy63" hidden="1">#REF!</definedName>
    <definedName name="XRefCopy63Row" hidden="1">#N/A</definedName>
    <definedName name="XRefCopy64" localSheetId="0" hidden="1">#REF!</definedName>
    <definedName name="XRefCopy64" hidden="1">#REF!</definedName>
    <definedName name="XRefCopy64Row" hidden="1">#N/A</definedName>
    <definedName name="XRefCopy65" localSheetId="0" hidden="1">#REF!</definedName>
    <definedName name="XRefCopy65" hidden="1">#REF!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" localSheetId="0" hidden="1">#REF!</definedName>
    <definedName name="XRefCopy67" hidden="1">#REF!</definedName>
    <definedName name="XRefCopy67Row" hidden="1">#N/A</definedName>
    <definedName name="XRefCopy68" localSheetId="0" hidden="1">#REF!</definedName>
    <definedName name="XRefCopy68" hidden="1">#REF!</definedName>
    <definedName name="XRefCopy68Row" hidden="1">#N/A</definedName>
    <definedName name="XRefCopy69" localSheetId="0" hidden="1">#REF!</definedName>
    <definedName name="XRefCopy69" hidden="1">#REF!</definedName>
    <definedName name="XRefCopy69Row" hidden="1">#N/A</definedName>
    <definedName name="XRefCopy6Row" localSheetId="0" hidden="1">#REF!</definedName>
    <definedName name="XRefCopy6Row" hidden="1">#REF!</definedName>
    <definedName name="XRefCopy7" localSheetId="0" hidden="1">#REF!</definedName>
    <definedName name="XRefCopy7" hidden="1">#REF!</definedName>
    <definedName name="XRefCopy70" localSheetId="0" hidden="1">#REF!</definedName>
    <definedName name="XRefCopy70" hidden="1">#REF!</definedName>
    <definedName name="XRefCopy70Row" hidden="1">#N/A</definedName>
    <definedName name="XRefCopy71" localSheetId="0" hidden="1">#REF!</definedName>
    <definedName name="XRefCopy71" hidden="1">#REF!</definedName>
    <definedName name="XRefCopy71Row" hidden="1">#N/A</definedName>
    <definedName name="XRefCopy72" localSheetId="0" hidden="1">#REF!</definedName>
    <definedName name="XRefCopy72" hidden="1">#REF!</definedName>
    <definedName name="XRefCopy72Row" hidden="1">#N/A</definedName>
    <definedName name="XRefCopy73" localSheetId="0" hidden="1">#REF!</definedName>
    <definedName name="XRefCopy73" hidden="1">#REF!</definedName>
    <definedName name="XRefCopy73Row" hidden="1">#N/A</definedName>
    <definedName name="XRefCopy74" localSheetId="0" hidden="1">#REF!</definedName>
    <definedName name="XRefCopy74" hidden="1">#REF!</definedName>
    <definedName name="XRefCopy74Row" hidden="1">#N/A</definedName>
    <definedName name="XRefCopy75" localSheetId="0" hidden="1">#REF!</definedName>
    <definedName name="XRefCopy75" hidden="1">#REF!</definedName>
    <definedName name="XRefCopy75Row" hidden="1">#N/A</definedName>
    <definedName name="XRefCopy76" localSheetId="0" hidden="1">#REF!</definedName>
    <definedName name="XRefCopy76" hidden="1">#REF!</definedName>
    <definedName name="XRefCopy76Row" hidden="1">#N/A</definedName>
    <definedName name="XRefCopy77" localSheetId="0" hidden="1">#REF!</definedName>
    <definedName name="XRefCopy77" hidden="1">#REF!</definedName>
    <definedName name="XRefCopy77Row" hidden="1">#N/A</definedName>
    <definedName name="XRefCopy78" localSheetId="0" hidden="1">#REF!</definedName>
    <definedName name="XRefCopy78" hidden="1">#REF!</definedName>
    <definedName name="XRefCopy78Row" hidden="1">#N/A</definedName>
    <definedName name="XRefCopy79" localSheetId="0" hidden="1">#REF!</definedName>
    <definedName name="XRefCopy79" hidden="1">#REF!</definedName>
    <definedName name="XRefCopy79Row" hidden="1">#N/A</definedName>
    <definedName name="XRefCopy7Row" localSheetId="0" hidden="1">#REF!</definedName>
    <definedName name="XRefCopy7Row" hidden="1">#REF!</definedName>
    <definedName name="XRefCopy8" localSheetId="0" hidden="1">#REF!</definedName>
    <definedName name="XRefCopy8" hidden="1">#REF!</definedName>
    <definedName name="XRefCopy80" localSheetId="0" hidden="1">#REF!</definedName>
    <definedName name="XRefCopy80" hidden="1">#REF!</definedName>
    <definedName name="XRefCopy80Row" hidden="1">#N/A</definedName>
    <definedName name="XRefCopy81" localSheetId="0" hidden="1">#REF!</definedName>
    <definedName name="XRefCopy81" hidden="1">#REF!</definedName>
    <definedName name="XRefCopy82" localSheetId="0" hidden="1">#REF!</definedName>
    <definedName name="XRefCopy82" hidden="1">#REF!</definedName>
    <definedName name="XRefCopy83" localSheetId="0" hidden="1">#REF!</definedName>
    <definedName name="XRefCopy83" hidden="1">#REF!</definedName>
    <definedName name="XRefCopy84" localSheetId="0" hidden="1">#REF!</definedName>
    <definedName name="XRefCopy84" hidden="1">#REF!</definedName>
    <definedName name="XRefCopy85" localSheetId="0" hidden="1">#REF!</definedName>
    <definedName name="XRefCopy85" hidden="1">#REF!</definedName>
    <definedName name="XRefCopy86" localSheetId="0" hidden="1">#REF!</definedName>
    <definedName name="XRefCopy86" hidden="1">#REF!</definedName>
    <definedName name="XRefCopy87" localSheetId="0" hidden="1">#REF!</definedName>
    <definedName name="XRefCopy87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localSheetId="0" hidden="1">[14]XREF!#REF!</definedName>
    <definedName name="XRefCopy8Row" hidden="1">[14]XREF!#REF!</definedName>
    <definedName name="XRefCopy9" localSheetId="0" hidden="1">#REF!</definedName>
    <definedName name="XRefCopy9" hidden="1">#REF!</definedName>
    <definedName name="XRefCopy90" localSheetId="0" hidden="1">#REF!</definedName>
    <definedName name="XRefCopy90" hidden="1">#REF!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3" localSheetId="0" hidden="1">#REF!</definedName>
    <definedName name="XRefCopy93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6" localSheetId="0" hidden="1">#REF!</definedName>
    <definedName name="XRefCopy96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localSheetId="0" hidden="1">#REF!</definedName>
    <definedName name="XRefCopy9Row" hidden="1">#REF!</definedName>
    <definedName name="XRefCopyRangeCount" hidden="1">2</definedName>
    <definedName name="XRefPaste1" localSheetId="0" hidden="1">#REF!</definedName>
    <definedName name="XRefPaste1" hidden="1">#REF!</definedName>
    <definedName name="XRefPaste10" localSheetId="0" hidden="1">#REF!</definedName>
    <definedName name="XRefPaste10" hidden="1">#REF!</definedName>
    <definedName name="XRefPaste100Row" localSheetId="0" hidden="1">'[6]2600'!#REF!</definedName>
    <definedName name="XRefPaste100Row" hidden="1">'[6]2600'!#REF!</definedName>
    <definedName name="XRefPaste101" localSheetId="0" hidden="1">'[6]2600'!#REF!</definedName>
    <definedName name="XRefPaste101" hidden="1">'[6]2600'!#REF!</definedName>
    <definedName name="XRefPaste101Row" localSheetId="0" hidden="1">'[6]2600'!#REF!</definedName>
    <definedName name="XRefPaste101Row" hidden="1">'[6]2600'!#REF!</definedName>
    <definedName name="XRefPaste102" localSheetId="0" hidden="1">'[6]2600'!#REF!</definedName>
    <definedName name="XRefPaste102" hidden="1">'[6]2600'!#REF!</definedName>
    <definedName name="XRefPaste102Row" localSheetId="0" hidden="1">'[6]2600'!#REF!</definedName>
    <definedName name="XRefPaste102Row" hidden="1">'[6]2600'!#REF!</definedName>
    <definedName name="XRefPaste104Row" localSheetId="0" hidden="1">'[6]2600'!#REF!</definedName>
    <definedName name="XRefPaste104Row" hidden="1">'[6]2600'!#REF!</definedName>
    <definedName name="XRefPaste105" localSheetId="0" hidden="1">#REF!</definedName>
    <definedName name="XRefPaste105" hidden="1">#REF!</definedName>
    <definedName name="XRefPaste105Row" localSheetId="0" hidden="1">'[6]2600'!#REF!</definedName>
    <definedName name="XRefPaste105Row" hidden="1">'[6]2600'!#REF!</definedName>
    <definedName name="XRefPaste106" localSheetId="0" hidden="1">#REF!</definedName>
    <definedName name="XRefPaste106" hidden="1">#REF!</definedName>
    <definedName name="XRefPaste106Row" localSheetId="0" hidden="1">'[6]2600'!#REF!</definedName>
    <definedName name="XRefPaste106Row" hidden="1">'[6]2600'!#REF!</definedName>
    <definedName name="XRefPaste107" localSheetId="0" hidden="1">[2]IS!#REF!</definedName>
    <definedName name="XRefPaste107" hidden="1">[2]IS!#REF!</definedName>
    <definedName name="XRefPaste107Row" localSheetId="0" hidden="1">'[6]2600'!#REF!</definedName>
    <definedName name="XRefPaste107Row" hidden="1">'[6]2600'!#REF!</definedName>
    <definedName name="XRefPaste108" localSheetId="0" hidden="1">[2]IS!#REF!</definedName>
    <definedName name="XRefPaste108" hidden="1">[2]IS!#REF!</definedName>
    <definedName name="XRefPaste108Row" localSheetId="0" hidden="1">'[6]2600'!#REF!</definedName>
    <definedName name="XRefPaste108Row" hidden="1">'[6]2600'!#REF!</definedName>
    <definedName name="XRefPaste109" localSheetId="0" hidden="1">[2]IS!#REF!</definedName>
    <definedName name="XRefPaste109" hidden="1">[2]IS!#REF!</definedName>
    <definedName name="XRefPaste10Row" localSheetId="0" hidden="1">#REF!</definedName>
    <definedName name="XRefPaste10Row" hidden="1">#REF!</definedName>
    <definedName name="XRefPaste11" localSheetId="0" hidden="1">#REF!</definedName>
    <definedName name="XRefPaste11" hidden="1">#REF!</definedName>
    <definedName name="XRefPaste110" localSheetId="0" hidden="1">[2]IS!#REF!</definedName>
    <definedName name="XRefPaste110" hidden="1">[2]IS!#REF!</definedName>
    <definedName name="XRefPaste111" localSheetId="0" hidden="1">'[15]PAJE,PRJE'!#REF!</definedName>
    <definedName name="XRefPaste111" hidden="1">'[15]PAJE,PRJE'!#REF!</definedName>
    <definedName name="XRefPaste112" localSheetId="0" hidden="1">'[15]PAJE,PRJE'!#REF!</definedName>
    <definedName name="XRefPaste112" hidden="1">'[15]PAJE,PRJE'!#REF!</definedName>
    <definedName name="XRefPaste113" localSheetId="0" hidden="1">'[15]PAJE,PRJE'!#REF!</definedName>
    <definedName name="XRefPaste113" hidden="1">'[15]PAJE,PRJE'!#REF!</definedName>
    <definedName name="XRefPaste114" localSheetId="0" hidden="1">'[6]2500'!#REF!</definedName>
    <definedName name="XRefPaste114" hidden="1">'[6]2500'!#REF!</definedName>
    <definedName name="XRefPaste115" localSheetId="0" hidden="1">'[6]2500'!#REF!</definedName>
    <definedName name="XRefPaste115" hidden="1">'[6]2500'!#REF!</definedName>
    <definedName name="XRefPaste116" localSheetId="0" hidden="1">'[6]2500'!#REF!</definedName>
    <definedName name="XRefPaste116" hidden="1">'[6]2500'!#REF!</definedName>
    <definedName name="XRefPaste117" localSheetId="0" hidden="1">'[6]2500'!#REF!</definedName>
    <definedName name="XRefPaste117" hidden="1">'[6]2500'!#REF!</definedName>
    <definedName name="XRefPaste11Row" localSheetId="0" hidden="1">#REF!</definedName>
    <definedName name="XRefPaste11Row" hidden="1">#REF!</definedName>
    <definedName name="XRefPaste12" localSheetId="0" hidden="1">#REF!</definedName>
    <definedName name="XRefPaste12" hidden="1">#REF!</definedName>
    <definedName name="XRefPaste120" localSheetId="0" hidden="1">'[6]2500'!#REF!</definedName>
    <definedName name="XRefPaste120" hidden="1">'[6]2500'!#REF!</definedName>
    <definedName name="XRefPaste121" localSheetId="0" hidden="1">'[6]2500'!#REF!</definedName>
    <definedName name="XRefPaste121" hidden="1">'[6]2500'!#REF!</definedName>
    <definedName name="XRefPaste124" localSheetId="0" hidden="1">'[6]2500'!#REF!</definedName>
    <definedName name="XRefPaste124" hidden="1">'[6]2500'!#REF!</definedName>
    <definedName name="XRefPaste126" localSheetId="0" hidden="1">'[6]2500'!#REF!</definedName>
    <definedName name="XRefPaste126" hidden="1">'[6]2500'!#REF!</definedName>
    <definedName name="XRefPaste129" localSheetId="0" hidden="1">'[6]2500'!#REF!</definedName>
    <definedName name="XRefPaste129" hidden="1">'[6]2500'!#REF!</definedName>
    <definedName name="XRefPaste12Row" localSheetId="0" hidden="1">#REF!</definedName>
    <definedName name="XRefPaste12Row" hidden="1">#REF!</definedName>
    <definedName name="XRefPaste13" localSheetId="0" hidden="1">#REF!</definedName>
    <definedName name="XRefPaste13" hidden="1">#REF!</definedName>
    <definedName name="XRefPaste130" localSheetId="0" hidden="1">'[6]2500'!#REF!</definedName>
    <definedName name="XRefPaste130" hidden="1">'[6]2500'!#REF!</definedName>
    <definedName name="XRefPaste134" localSheetId="0" hidden="1">'[6]2500'!#REF!</definedName>
    <definedName name="XRefPaste134" hidden="1">'[6]2500'!#REF!</definedName>
    <definedName name="XRefPaste135" localSheetId="0" hidden="1">'[6]2500'!#REF!</definedName>
    <definedName name="XRefPaste135" hidden="1">'[6]2500'!#REF!</definedName>
    <definedName name="XRefPaste136" localSheetId="0" hidden="1">'[6]2500'!#REF!</definedName>
    <definedName name="XRefPaste136" hidden="1">'[6]2500'!#REF!</definedName>
    <definedName name="XRefPaste138" localSheetId="0" hidden="1">'[6]2500'!#REF!</definedName>
    <definedName name="XRefPaste138" hidden="1">'[6]2500'!#REF!</definedName>
    <definedName name="XRefPaste13Row" localSheetId="0" hidden="1">#REF!</definedName>
    <definedName name="XRefPaste13Row" hidden="1">#REF!</definedName>
    <definedName name="XRefPaste14" localSheetId="0" hidden="1">#REF!</definedName>
    <definedName name="XRefPaste14" hidden="1">#REF!</definedName>
    <definedName name="XRefPaste140" localSheetId="0" hidden="1">'[6]2600'!#REF!</definedName>
    <definedName name="XRefPaste140" hidden="1">'[6]2600'!#REF!</definedName>
    <definedName name="XRefPaste143" localSheetId="0" hidden="1">'[15]PAJE,PRJE'!#REF!</definedName>
    <definedName name="XRefPaste143" hidden="1">'[15]PAJE,PRJE'!#REF!</definedName>
    <definedName name="XRefPaste144" localSheetId="0" hidden="1">'[6]2600'!#REF!</definedName>
    <definedName name="XRefPaste144" hidden="1">'[6]2600'!#REF!</definedName>
    <definedName name="XRefPaste145" localSheetId="0" hidden="1">'[6]2600'!#REF!</definedName>
    <definedName name="XRefPaste145" hidden="1">'[6]2600'!#REF!</definedName>
    <definedName name="XRefPaste146" localSheetId="0" hidden="1">'[6]2600'!#REF!</definedName>
    <definedName name="XRefPaste146" hidden="1">'[6]2600'!#REF!</definedName>
    <definedName name="XRefPaste146Row" localSheetId="0" hidden="1">#REF!</definedName>
    <definedName name="XRefPaste146Row" hidden="1">#REF!</definedName>
    <definedName name="XRefPaste147" localSheetId="0" hidden="1">'[6]2600'!#REF!</definedName>
    <definedName name="XRefPaste147" hidden="1">'[6]2600'!#REF!</definedName>
    <definedName name="XRefPaste147Row" localSheetId="0" hidden="1">#REF!</definedName>
    <definedName name="XRefPaste147Row" hidden="1">#REF!</definedName>
    <definedName name="XRefPaste148" localSheetId="0" hidden="1">[2]IS!#REF!</definedName>
    <definedName name="XRefPaste148" hidden="1">[2]IS!#REF!</definedName>
    <definedName name="XRefPaste149" localSheetId="0" hidden="1">[2]IS!#REF!</definedName>
    <definedName name="XRefPaste149" hidden="1">[2]IS!#REF!</definedName>
    <definedName name="XRefPaste14Row" localSheetId="0" hidden="1">#REF!</definedName>
    <definedName name="XRefPaste14Row" hidden="1">#REF!</definedName>
    <definedName name="XRefPaste15" localSheetId="0" hidden="1">#REF!</definedName>
    <definedName name="XRefPaste15" hidden="1">#REF!</definedName>
    <definedName name="XRefPaste150" localSheetId="0" hidden="1">[2]IS!#REF!</definedName>
    <definedName name="XRefPaste150" hidden="1">[2]IS!#REF!</definedName>
    <definedName name="XRefPaste151" localSheetId="0" hidden="1">[2]IS!#REF!</definedName>
    <definedName name="XRefPaste151" hidden="1">[2]IS!#REF!</definedName>
    <definedName name="XRefPaste152" localSheetId="0" hidden="1">[2]IS!#REF!</definedName>
    <definedName name="XRefPaste152" hidden="1">[2]IS!#REF!</definedName>
    <definedName name="XRefPaste153" localSheetId="0" hidden="1">'[6]2600'!#REF!</definedName>
    <definedName name="XRefPaste153" hidden="1">'[6]2600'!#REF!</definedName>
    <definedName name="XRefPaste154" localSheetId="0" hidden="1">'[6]2600'!#REF!</definedName>
    <definedName name="XRefPaste154" hidden="1">'[6]2600'!#REF!</definedName>
    <definedName name="XRefPaste155" localSheetId="0" hidden="1">[2]IS!#REF!</definedName>
    <definedName name="XRefPaste155" hidden="1">[2]IS!#REF!</definedName>
    <definedName name="XRefPaste156" localSheetId="0" hidden="1">[2]IS!#REF!</definedName>
    <definedName name="XRefPaste156" hidden="1">[2]IS!#REF!</definedName>
    <definedName name="XRefPaste157" localSheetId="0" hidden="1">[2]IS!#REF!</definedName>
    <definedName name="XRefPaste157" hidden="1">[2]IS!#REF!</definedName>
    <definedName name="XRefPaste158" localSheetId="0" hidden="1">[2]IS!#REF!</definedName>
    <definedName name="XRefPaste158" hidden="1">[2]IS!#REF!</definedName>
    <definedName name="XRefPaste159" localSheetId="0" hidden="1">[2]IS!#REF!</definedName>
    <definedName name="XRefPaste159" hidden="1">[2]IS!#REF!</definedName>
    <definedName name="XRefPaste15Row" localSheetId="0" hidden="1">#REF!</definedName>
    <definedName name="XRefPaste15Row" hidden="1">#REF!</definedName>
    <definedName name="XRefPaste16" localSheetId="0" hidden="1">#REF!</definedName>
    <definedName name="XRefPaste16" hidden="1">#REF!</definedName>
    <definedName name="XRefPaste160" localSheetId="0" hidden="1">[2]IS!#REF!</definedName>
    <definedName name="XRefPaste160" hidden="1">[2]IS!#REF!</definedName>
    <definedName name="XRefPaste161" localSheetId="0" hidden="1">'[6]2600'!#REF!</definedName>
    <definedName name="XRefPaste161" hidden="1">'[6]2600'!#REF!</definedName>
    <definedName name="XRefPaste162" localSheetId="0" hidden="1">'[6]2600'!#REF!</definedName>
    <definedName name="XRefPaste162" hidden="1">'[6]2600'!#REF!</definedName>
    <definedName name="XRefPaste163" localSheetId="0" hidden="1">[2]IS!#REF!</definedName>
    <definedName name="XRefPaste163" hidden="1">[2]IS!#REF!</definedName>
    <definedName name="XRefPaste164" localSheetId="0" hidden="1">[2]IS!#REF!</definedName>
    <definedName name="XRefPaste164" hidden="1">[2]IS!#REF!</definedName>
    <definedName name="XRefPaste165" localSheetId="0" hidden="1">[2]IS!#REF!</definedName>
    <definedName name="XRefPaste165" hidden="1">[2]IS!#REF!</definedName>
    <definedName name="XRefPaste166" localSheetId="0" hidden="1">[2]IS!#REF!</definedName>
    <definedName name="XRefPaste166" hidden="1">[2]IS!#REF!</definedName>
    <definedName name="XRefPaste167" localSheetId="0" hidden="1">[2]IS!#REF!</definedName>
    <definedName name="XRefPaste167" hidden="1">[2]IS!#REF!</definedName>
    <definedName name="XRefPaste168" localSheetId="0" hidden="1">[2]IS!#REF!</definedName>
    <definedName name="XRefPaste168" hidden="1">[2]IS!#REF!</definedName>
    <definedName name="XRefPaste169" localSheetId="0" hidden="1">[2]IS!#REF!</definedName>
    <definedName name="XRefPaste169" hidden="1">[2]IS!#REF!</definedName>
    <definedName name="XRefPaste16Row" localSheetId="0" hidden="1">#REF!</definedName>
    <definedName name="XRefPaste16Row" hidden="1">#REF!</definedName>
    <definedName name="XRefPaste17" localSheetId="0" hidden="1">#REF!</definedName>
    <definedName name="XRefPaste17" hidden="1">#REF!</definedName>
    <definedName name="XRefPaste170" localSheetId="0" hidden="1">[2]IS!#REF!</definedName>
    <definedName name="XRefPaste170" hidden="1">[2]IS!#REF!</definedName>
    <definedName name="XRefPaste171" localSheetId="0" hidden="1">[2]IS!#REF!</definedName>
    <definedName name="XRefPaste171" hidden="1">[2]IS!#REF!</definedName>
    <definedName name="XRefPaste172" localSheetId="0" hidden="1">[2]IS!#REF!</definedName>
    <definedName name="XRefPaste172" hidden="1">[2]IS!#REF!</definedName>
    <definedName name="XRefPaste173" localSheetId="0" hidden="1">[2]IS!#REF!</definedName>
    <definedName name="XRefPaste173" hidden="1">[2]IS!#REF!</definedName>
    <definedName name="XRefPaste174" localSheetId="0" hidden="1">[2]IS!#REF!</definedName>
    <definedName name="XRefPaste174" hidden="1">[2]IS!#REF!</definedName>
    <definedName name="XRefPaste175" localSheetId="0" hidden="1">[2]IS!#REF!</definedName>
    <definedName name="XRefPaste175" hidden="1">[2]IS!#REF!</definedName>
    <definedName name="XRefPaste179" localSheetId="0" hidden="1">[2]IS!#REF!</definedName>
    <definedName name="XRefPaste179" hidden="1">[2]IS!#REF!</definedName>
    <definedName name="XRefPaste17Row" localSheetId="0" hidden="1">#REF!</definedName>
    <definedName name="XRefPaste17Row" hidden="1">#REF!</definedName>
    <definedName name="XRefPaste18" localSheetId="0" hidden="1">#REF!</definedName>
    <definedName name="XRefPaste18" hidden="1">#REF!</definedName>
    <definedName name="XRefPaste180" localSheetId="0" hidden="1">[2]IS!#REF!</definedName>
    <definedName name="XRefPaste180" hidden="1">[2]IS!#REF!</definedName>
    <definedName name="XRefPaste180Row" localSheetId="0" hidden="1">[16]XREF!#REF!</definedName>
    <definedName name="XRefPaste180Row" hidden="1">[16]XREF!#REF!</definedName>
    <definedName name="XRefPaste181" localSheetId="0" hidden="1">[2]IS!#REF!</definedName>
    <definedName name="XRefPaste181" hidden="1">[2]IS!#REF!</definedName>
    <definedName name="XRefPaste182" localSheetId="0" hidden="1">[2]IS!#REF!</definedName>
    <definedName name="XRefPaste182" hidden="1">[2]IS!#REF!</definedName>
    <definedName name="XRefPaste183" localSheetId="0" hidden="1">[2]IS!#REF!</definedName>
    <definedName name="XRefPaste183" hidden="1">[2]IS!#REF!</definedName>
    <definedName name="XRefPaste184" localSheetId="0" hidden="1">'[6]2600'!#REF!</definedName>
    <definedName name="XRefPaste184" hidden="1">'[6]2600'!#REF!</definedName>
    <definedName name="XRefPaste185" localSheetId="0" hidden="1">'[6]2600'!#REF!</definedName>
    <definedName name="XRefPaste185" hidden="1">'[6]2600'!#REF!</definedName>
    <definedName name="XRefPaste186" localSheetId="0" hidden="1">[2]IS!#REF!</definedName>
    <definedName name="XRefPaste186" hidden="1">[2]IS!#REF!</definedName>
    <definedName name="XRefPaste187" localSheetId="0" hidden="1">[2]IS!#REF!</definedName>
    <definedName name="XRefPaste187" hidden="1">[2]IS!#REF!</definedName>
    <definedName name="XRefPaste188" localSheetId="0" hidden="1">'[6]2600'!#REF!</definedName>
    <definedName name="XRefPaste188" hidden="1">'[6]2600'!#REF!</definedName>
    <definedName name="XRefPaste189" localSheetId="0" hidden="1">'[6]2600'!#REF!</definedName>
    <definedName name="XRefPaste189" hidden="1">'[6]2600'!#REF!</definedName>
    <definedName name="XRefPaste18Row" localSheetId="0" hidden="1">#REF!</definedName>
    <definedName name="XRefPaste18Row" hidden="1">#REF!</definedName>
    <definedName name="XRefPaste19" localSheetId="0" hidden="1">#REF!</definedName>
    <definedName name="XRefPaste19" hidden="1">#REF!</definedName>
    <definedName name="XRefPaste190Row" localSheetId="0" hidden="1">'[6]3100'!#REF!</definedName>
    <definedName name="XRefPaste190Row" hidden="1">'[6]3100'!#REF!</definedName>
    <definedName name="XRefPaste191Row" localSheetId="0" hidden="1">'[6]3100'!#REF!</definedName>
    <definedName name="XRefPaste191Row" hidden="1">'[6]3100'!#REF!</definedName>
    <definedName name="XRefPaste192Row" localSheetId="0" hidden="1">'[6]3100'!#REF!</definedName>
    <definedName name="XRefPaste192Row" hidden="1">'[6]3100'!#REF!</definedName>
    <definedName name="XRefPaste193Row" localSheetId="0" hidden="1">'[6]3100'!#REF!</definedName>
    <definedName name="XRefPaste193Row" hidden="1">'[6]3100'!#REF!</definedName>
    <definedName name="XRefPaste194" localSheetId="0" hidden="1">'[6]2500'!#REF!</definedName>
    <definedName name="XRefPaste194" hidden="1">'[6]2500'!#REF!</definedName>
    <definedName name="XRefPaste194Row" localSheetId="0" hidden="1">'[6]3100'!#REF!</definedName>
    <definedName name="XRefPaste194Row" hidden="1">'[6]3100'!#REF!</definedName>
    <definedName name="XRefPaste195Row" localSheetId="0" hidden="1">'[6]3100'!#REF!</definedName>
    <definedName name="XRefPaste195Row" hidden="1">'[6]3100'!#REF!</definedName>
    <definedName name="XRefPaste196Row" localSheetId="0" hidden="1">'[6]3100'!#REF!</definedName>
    <definedName name="XRefPaste196Row" hidden="1">'[6]3100'!#REF!</definedName>
    <definedName name="XRefPaste197" localSheetId="0" hidden="1">'[6]2500'!#REF!</definedName>
    <definedName name="XRefPaste197" hidden="1">'[6]2500'!#REF!</definedName>
    <definedName name="XRefPaste197Row" localSheetId="0" hidden="1">'[6]3100'!#REF!</definedName>
    <definedName name="XRefPaste197Row" hidden="1">'[6]3100'!#REF!</definedName>
    <definedName name="XRefPaste198" localSheetId="0" hidden="1">'[15]PAJE,PRJE'!#REF!</definedName>
    <definedName name="XRefPaste198" hidden="1">'[15]PAJE,PRJE'!#REF!</definedName>
    <definedName name="XRefPaste198Row" localSheetId="0" hidden="1">'[6]3100'!#REF!</definedName>
    <definedName name="XRefPaste198Row" hidden="1">'[6]3100'!#REF!</definedName>
    <definedName name="XRefPaste199" localSheetId="0" hidden="1">#REF!</definedName>
    <definedName name="XRefPaste199" hidden="1">#REF!</definedName>
    <definedName name="XRefPaste199Row" localSheetId="0" hidden="1">'[6]3100'!#REF!</definedName>
    <definedName name="XRefPaste199Row" hidden="1">'[6]3100'!#REF!</definedName>
    <definedName name="XRefPaste19Row" localSheetId="0" hidden="1">#REF!</definedName>
    <definedName name="XRefPaste19Row" hidden="1">#REF!</definedName>
    <definedName name="XRefPaste1Row" localSheetId="0" hidden="1">#REF!</definedName>
    <definedName name="XRefPaste1Row" hidden="1">#REF!</definedName>
    <definedName name="XRefPaste2" localSheetId="0" hidden="1">#REF!</definedName>
    <definedName name="XRefPaste2" hidden="1">#REF!</definedName>
    <definedName name="XRefPaste20" localSheetId="0" hidden="1">#REF!</definedName>
    <definedName name="XRefPaste20" hidden="1">#REF!</definedName>
    <definedName name="XRefPaste200" localSheetId="0" hidden="1">#REF!</definedName>
    <definedName name="XRefPaste200" hidden="1">#REF!</definedName>
    <definedName name="XRefPaste200Row" localSheetId="0" hidden="1">'[6]3100'!#REF!</definedName>
    <definedName name="XRefPaste200Row" hidden="1">'[6]3100'!#REF!</definedName>
    <definedName name="XRefPaste201" localSheetId="0" hidden="1">'[6]2500'!#REF!</definedName>
    <definedName name="XRefPaste201" hidden="1">'[6]2500'!#REF!</definedName>
    <definedName name="XRefPaste201Row" localSheetId="0" hidden="1">'[6]3100'!#REF!</definedName>
    <definedName name="XRefPaste201Row" hidden="1">'[6]3100'!#REF!</definedName>
    <definedName name="XRefPaste202" localSheetId="0" hidden="1">'[6]2500'!#REF!</definedName>
    <definedName name="XRefPaste202" hidden="1">'[6]2500'!#REF!</definedName>
    <definedName name="XRefPaste202Row" localSheetId="0" hidden="1">'[6]3100'!#REF!</definedName>
    <definedName name="XRefPaste202Row" hidden="1">'[6]3100'!#REF!</definedName>
    <definedName name="XRefPaste203" localSheetId="0" hidden="1">'[6]2500'!#REF!</definedName>
    <definedName name="XRefPaste203" hidden="1">'[6]2500'!#REF!</definedName>
    <definedName name="XRefPaste203Row" localSheetId="0" hidden="1">'[6]3100'!#REF!</definedName>
    <definedName name="XRefPaste203Row" hidden="1">'[6]3100'!#REF!</definedName>
    <definedName name="XRefPaste204" localSheetId="0" hidden="1">#REF!</definedName>
    <definedName name="XRefPaste204" hidden="1">#REF!</definedName>
    <definedName name="XRefPaste204Row" localSheetId="0" hidden="1">'[6]3100'!#REF!</definedName>
    <definedName name="XRefPaste204Row" hidden="1">'[6]3100'!#REF!</definedName>
    <definedName name="XRefPaste205" localSheetId="0" hidden="1">#REF!</definedName>
    <definedName name="XRefPaste205" hidden="1">#REF!</definedName>
    <definedName name="XRefPaste205Row" localSheetId="0" hidden="1">'[6]3100'!#REF!</definedName>
    <definedName name="XRefPaste205Row" hidden="1">'[6]3100'!#REF!</definedName>
    <definedName name="XRefPaste206" localSheetId="0" hidden="1">#REF!</definedName>
    <definedName name="XRefPaste206" hidden="1">#REF!</definedName>
    <definedName name="XRefPaste206Row" localSheetId="0" hidden="1">'[6]3100'!#REF!</definedName>
    <definedName name="XRefPaste206Row" hidden="1">'[6]3100'!#REF!</definedName>
    <definedName name="XRefPaste207" localSheetId="0" hidden="1">#REF!</definedName>
    <definedName name="XRefPaste207" hidden="1">#REF!</definedName>
    <definedName name="XRefPaste207Row" localSheetId="0" hidden="1">'[6]3100'!#REF!</definedName>
    <definedName name="XRefPaste207Row" hidden="1">'[6]3100'!#REF!</definedName>
    <definedName name="XRefPaste208" localSheetId="0" hidden="1">'[6]2500'!#REF!</definedName>
    <definedName name="XRefPaste208" hidden="1">'[6]2500'!#REF!</definedName>
    <definedName name="XRefPaste208Row" localSheetId="0" hidden="1">'[6]3100'!#REF!</definedName>
    <definedName name="XRefPaste208Row" hidden="1">'[6]3100'!#REF!</definedName>
    <definedName name="XRefPaste209" localSheetId="0" hidden="1">'[6]2500'!#REF!</definedName>
    <definedName name="XRefPaste209" hidden="1">'[6]2500'!#REF!</definedName>
    <definedName name="XRefPaste209Row" localSheetId="0" hidden="1">'[6]3100'!#REF!</definedName>
    <definedName name="XRefPaste209Row" hidden="1">'[6]3100'!#REF!</definedName>
    <definedName name="XRefPaste20Row" localSheetId="0" hidden="1">#REF!</definedName>
    <definedName name="XRefPaste20Row" hidden="1">#REF!</definedName>
    <definedName name="XRefPaste21" localSheetId="0" hidden="1">#REF!</definedName>
    <definedName name="XRefPaste21" hidden="1">#REF!</definedName>
    <definedName name="XRefPaste210" localSheetId="0" hidden="1">#REF!</definedName>
    <definedName name="XRefPaste210" hidden="1">#REF!</definedName>
    <definedName name="XRefPaste210Row" localSheetId="0" hidden="1">'[6]3100'!#REF!</definedName>
    <definedName name="XRefPaste210Row" hidden="1">'[6]3100'!#REF!</definedName>
    <definedName name="XRefPaste211" localSheetId="0" hidden="1">#REF!</definedName>
    <definedName name="XRefPaste211" hidden="1">#REF!</definedName>
    <definedName name="XRefPaste211Row" localSheetId="0" hidden="1">'[6]3100'!#REF!</definedName>
    <definedName name="XRefPaste211Row" hidden="1">'[6]3100'!#REF!</definedName>
    <definedName name="XRefPaste212" localSheetId="0" hidden="1">#REF!</definedName>
    <definedName name="XRefPaste212" hidden="1">#REF!</definedName>
    <definedName name="XRefPaste212Row" localSheetId="0" hidden="1">'[6]3100'!#REF!</definedName>
    <definedName name="XRefPaste212Row" hidden="1">'[6]3100'!#REF!</definedName>
    <definedName name="XRefPaste213" localSheetId="0" hidden="1">#REF!</definedName>
    <definedName name="XRefPaste213" hidden="1">#REF!</definedName>
    <definedName name="XRefPaste213Row" localSheetId="0" hidden="1">'[6]3100'!#REF!</definedName>
    <definedName name="XRefPaste213Row" hidden="1">'[6]3100'!#REF!</definedName>
    <definedName name="XRefPaste214" localSheetId="0" hidden="1">#REF!</definedName>
    <definedName name="XRefPaste214" hidden="1">#REF!</definedName>
    <definedName name="XRefPaste214Row" localSheetId="0" hidden="1">'[6]3100'!#REF!</definedName>
    <definedName name="XRefPaste214Row" hidden="1">'[6]3100'!#REF!</definedName>
    <definedName name="XRefPaste215" localSheetId="0" hidden="1">'[6]2500'!#REF!</definedName>
    <definedName name="XRefPaste215" hidden="1">'[6]2500'!#REF!</definedName>
    <definedName name="XRefPaste215Row" localSheetId="0" hidden="1">'[6]3100'!#REF!</definedName>
    <definedName name="XRefPaste215Row" hidden="1">'[6]3100'!#REF!</definedName>
    <definedName name="XRefPaste216" localSheetId="0" hidden="1">#REF!</definedName>
    <definedName name="XRefPaste216" hidden="1">#REF!</definedName>
    <definedName name="XRefPaste216Row" localSheetId="0" hidden="1">'[6]3100'!#REF!</definedName>
    <definedName name="XRefPaste216Row" hidden="1">'[6]3100'!#REF!</definedName>
    <definedName name="XRefPaste217" localSheetId="0" hidden="1">#REF!</definedName>
    <definedName name="XRefPaste217" hidden="1">#REF!</definedName>
    <definedName name="XRefPaste217Row" localSheetId="0" hidden="1">'[6]3100'!#REF!</definedName>
    <definedName name="XRefPaste217Row" hidden="1">'[6]3100'!#REF!</definedName>
    <definedName name="XRefPaste218" localSheetId="0" hidden="1">#REF!</definedName>
    <definedName name="XRefPaste218" hidden="1">#REF!</definedName>
    <definedName name="XRefPaste218Row" localSheetId="0" hidden="1">'[6]3100'!#REF!</definedName>
    <definedName name="XRefPaste218Row" hidden="1">'[6]3100'!#REF!</definedName>
    <definedName name="XRefPaste219" localSheetId="0" hidden="1">#REF!</definedName>
    <definedName name="XRefPaste219" hidden="1">#REF!</definedName>
    <definedName name="XRefPaste219Row" localSheetId="0" hidden="1">'[6]3100'!#REF!</definedName>
    <definedName name="XRefPaste219Row" hidden="1">'[6]3100'!#REF!</definedName>
    <definedName name="XRefPaste21Row" localSheetId="0" hidden="1">#REF!</definedName>
    <definedName name="XRefPaste21Row" hidden="1">#REF!</definedName>
    <definedName name="XRefPaste22" localSheetId="0" hidden="1">#REF!</definedName>
    <definedName name="XRefPaste22" hidden="1">#REF!</definedName>
    <definedName name="XRefPaste220" localSheetId="0" hidden="1">#REF!</definedName>
    <definedName name="XRefPaste220" hidden="1">#REF!</definedName>
    <definedName name="XRefPaste220Row" localSheetId="0" hidden="1">'[6]3100'!#REF!</definedName>
    <definedName name="XRefPaste220Row" hidden="1">'[6]3100'!#REF!</definedName>
    <definedName name="XRefPaste221" localSheetId="0" hidden="1">#REF!</definedName>
    <definedName name="XRefPaste221" hidden="1">#REF!</definedName>
    <definedName name="XRefPaste221Row" localSheetId="0" hidden="1">'[6]3100'!#REF!</definedName>
    <definedName name="XRefPaste221Row" hidden="1">'[6]3100'!#REF!</definedName>
    <definedName name="XRefPaste222" localSheetId="0" hidden="1">#REF!</definedName>
    <definedName name="XRefPaste222" hidden="1">#REF!</definedName>
    <definedName name="XRefPaste222Row" localSheetId="0" hidden="1">'[6]3100'!#REF!</definedName>
    <definedName name="XRefPaste222Row" hidden="1">'[6]3100'!#REF!</definedName>
    <definedName name="XRefPaste223" localSheetId="0" hidden="1">#REF!</definedName>
    <definedName name="XRefPaste223" hidden="1">#REF!</definedName>
    <definedName name="XRefPaste223Row" localSheetId="0" hidden="1">'[6]3100'!#REF!</definedName>
    <definedName name="XRefPaste223Row" hidden="1">'[6]3100'!#REF!</definedName>
    <definedName name="XRefPaste224" localSheetId="0" hidden="1">#REF!</definedName>
    <definedName name="XRefPaste224" hidden="1">#REF!</definedName>
    <definedName name="XRefPaste224Row" localSheetId="0" hidden="1">'[6]3100'!#REF!</definedName>
    <definedName name="XRefPaste224Row" hidden="1">'[6]3100'!#REF!</definedName>
    <definedName name="XRefPaste225" localSheetId="0" hidden="1">#REF!</definedName>
    <definedName name="XRefPaste225" hidden="1">#REF!</definedName>
    <definedName name="XRefPaste225Row" localSheetId="0" hidden="1">'[6]3100'!#REF!</definedName>
    <definedName name="XRefPaste225Row" hidden="1">'[6]3100'!#REF!</definedName>
    <definedName name="XRefPaste226" localSheetId="0" hidden="1">#REF!</definedName>
    <definedName name="XRefPaste226" hidden="1">#REF!</definedName>
    <definedName name="XRefPaste226Row" localSheetId="0" hidden="1">'[6]3100'!#REF!</definedName>
    <definedName name="XRefPaste226Row" hidden="1">'[6]3100'!#REF!</definedName>
    <definedName name="XRefPaste227" localSheetId="0" hidden="1">#REF!</definedName>
    <definedName name="XRefPaste227" hidden="1">#REF!</definedName>
    <definedName name="XRefPaste227Row" localSheetId="0" hidden="1">'[6]3100'!#REF!</definedName>
    <definedName name="XRefPaste227Row" hidden="1">'[6]3100'!#REF!</definedName>
    <definedName name="XRefPaste228" localSheetId="0" hidden="1">#REF!</definedName>
    <definedName name="XRefPaste228" hidden="1">#REF!</definedName>
    <definedName name="XRefPaste228Row" localSheetId="0" hidden="1">'[6]3100'!#REF!</definedName>
    <definedName name="XRefPaste228Row" hidden="1">'[6]3100'!#REF!</definedName>
    <definedName name="XRefPaste229" localSheetId="0" hidden="1">#REF!</definedName>
    <definedName name="XRefPaste229" hidden="1">#REF!</definedName>
    <definedName name="XRefPaste229Row" localSheetId="0" hidden="1">'[6]3100'!#REF!</definedName>
    <definedName name="XRefPaste229Row" hidden="1">'[6]3100'!#REF!</definedName>
    <definedName name="XRefPaste22Row" localSheetId="0" hidden="1">#REF!</definedName>
    <definedName name="XRefPaste22Row" hidden="1">#REF!</definedName>
    <definedName name="XRefPaste23" localSheetId="0" hidden="1">#REF!</definedName>
    <definedName name="XRefPaste23" hidden="1">#REF!</definedName>
    <definedName name="XRefPaste230" localSheetId="0" hidden="1">#REF!</definedName>
    <definedName name="XRefPaste230" hidden="1">#REF!</definedName>
    <definedName name="XRefPaste230Row" localSheetId="0" hidden="1">'[6]3100'!#REF!</definedName>
    <definedName name="XRefPaste230Row" hidden="1">'[6]3100'!#REF!</definedName>
    <definedName name="XRefPaste231" localSheetId="0" hidden="1">#REF!</definedName>
    <definedName name="XRefPaste231" hidden="1">#REF!</definedName>
    <definedName name="XRefPaste231Row" localSheetId="0" hidden="1">'[6]3100'!#REF!</definedName>
    <definedName name="XRefPaste231Row" hidden="1">'[6]3100'!#REF!</definedName>
    <definedName name="XRefPaste232" localSheetId="0" hidden="1">#REF!</definedName>
    <definedName name="XRefPaste232" hidden="1">#REF!</definedName>
    <definedName name="XRefPaste232Row" localSheetId="0" hidden="1">'[6]3100'!#REF!</definedName>
    <definedName name="XRefPaste232Row" hidden="1">'[6]3100'!#REF!</definedName>
    <definedName name="XRefPaste233Row" localSheetId="0" hidden="1">'[6]3100'!#REF!</definedName>
    <definedName name="XRefPaste233Row" hidden="1">'[6]3100'!#REF!</definedName>
    <definedName name="XRefPaste234Row" localSheetId="0" hidden="1">'[6]3100'!#REF!</definedName>
    <definedName name="XRefPaste234Row" hidden="1">'[6]3100'!#REF!</definedName>
    <definedName name="XRefPaste235" localSheetId="0" hidden="1">[15]WTB!#REF!</definedName>
    <definedName name="XRefPaste235" hidden="1">[15]WTB!#REF!</definedName>
    <definedName name="XRefPaste235Row" localSheetId="0" hidden="1">'[6]3100'!#REF!</definedName>
    <definedName name="XRefPaste235Row" hidden="1">'[6]3100'!#REF!</definedName>
    <definedName name="XRefPaste236Row" localSheetId="0" hidden="1">'[6]3100'!#REF!</definedName>
    <definedName name="XRefPaste236Row" hidden="1">'[6]3100'!#REF!</definedName>
    <definedName name="XRefPaste237Row" localSheetId="0" hidden="1">'[6]3100'!#REF!</definedName>
    <definedName name="XRefPaste237Row" hidden="1">'[6]3100'!#REF!</definedName>
    <definedName name="XRefPaste238Row" localSheetId="0" hidden="1">'[6]3100'!#REF!</definedName>
    <definedName name="XRefPaste238Row" hidden="1">'[6]3100'!#REF!</definedName>
    <definedName name="XRefPaste239Row" localSheetId="0" hidden="1">'[6]3100'!#REF!</definedName>
    <definedName name="XRefPaste239Row" hidden="1">'[6]3100'!#REF!</definedName>
    <definedName name="XRefPaste23Row" localSheetId="0" hidden="1">#REF!</definedName>
    <definedName name="XRefPaste23Row" hidden="1">#REF!</definedName>
    <definedName name="XRefPaste24" localSheetId="0" hidden="1">#REF!</definedName>
    <definedName name="XRefPaste24" hidden="1">#REF!</definedName>
    <definedName name="XRefPaste240" localSheetId="0" hidden="1">'[6]2600'!#REF!</definedName>
    <definedName name="XRefPaste240" hidden="1">'[6]2600'!#REF!</definedName>
    <definedName name="XRefPaste240Row" localSheetId="0" hidden="1">'[6]3100'!#REF!</definedName>
    <definedName name="XRefPaste240Row" hidden="1">'[6]3100'!#REF!</definedName>
    <definedName name="XRefPaste241" localSheetId="0" hidden="1">'[6]2600'!#REF!</definedName>
    <definedName name="XRefPaste241" hidden="1">'[6]2600'!#REF!</definedName>
    <definedName name="XRefPaste241Row" localSheetId="0" hidden="1">'[6]3100'!#REF!</definedName>
    <definedName name="XRefPaste241Row" hidden="1">'[6]3100'!#REF!</definedName>
    <definedName name="XRefPaste242" localSheetId="0" hidden="1">'[6]2600'!#REF!</definedName>
    <definedName name="XRefPaste242" hidden="1">'[6]2600'!#REF!</definedName>
    <definedName name="XRefPaste242Row" localSheetId="0" hidden="1">'[6]3100'!#REF!</definedName>
    <definedName name="XRefPaste242Row" hidden="1">'[6]3100'!#REF!</definedName>
    <definedName name="XRefPaste243" localSheetId="0" hidden="1">'[6]2600'!#REF!</definedName>
    <definedName name="XRefPaste243" hidden="1">'[6]2600'!#REF!</definedName>
    <definedName name="XRefPaste243Row" localSheetId="0" hidden="1">'[6]3100'!#REF!</definedName>
    <definedName name="XRefPaste243Row" hidden="1">'[6]3100'!#REF!</definedName>
    <definedName name="XRefPaste244" localSheetId="0" hidden="1">'[6]2600'!#REF!</definedName>
    <definedName name="XRefPaste244" hidden="1">'[6]2600'!#REF!</definedName>
    <definedName name="XRefPaste244Row" localSheetId="0" hidden="1">'[6]3100'!#REF!</definedName>
    <definedName name="XRefPaste244Row" hidden="1">'[6]3100'!#REF!</definedName>
    <definedName name="XRefPaste245Row" localSheetId="0" hidden="1">'[6]3100'!#REF!</definedName>
    <definedName name="XRefPaste245Row" hidden="1">'[6]3100'!#REF!</definedName>
    <definedName name="XRefPaste246Row" localSheetId="0" hidden="1">'[6]3100'!#REF!</definedName>
    <definedName name="XRefPaste246Row" hidden="1">'[6]3100'!#REF!</definedName>
    <definedName name="XRefPaste24Row" localSheetId="0" hidden="1">#REF!</definedName>
    <definedName name="XRefPaste24Row" hidden="1">#REF!</definedName>
    <definedName name="XRefPaste25" localSheetId="0" hidden="1">#REF!</definedName>
    <definedName name="XRefPaste25" hidden="1">#REF!</definedName>
    <definedName name="XRefPaste25Row" localSheetId="0" hidden="1">#REF!</definedName>
    <definedName name="XRefPaste25Row" hidden="1">#REF!</definedName>
    <definedName name="XRefPaste26" localSheetId="0" hidden="1">#REF!</definedName>
    <definedName name="XRefPaste26" hidden="1">#REF!</definedName>
    <definedName name="XRefPaste26Row" localSheetId="0" hidden="1">#REF!</definedName>
    <definedName name="XRefPaste26Row" hidden="1">#REF!</definedName>
    <definedName name="XRefPaste27" localSheetId="0" hidden="1">#REF!</definedName>
    <definedName name="XRefPaste27" hidden="1">#REF!</definedName>
    <definedName name="XRefPaste27Row" localSheetId="0" hidden="1">#REF!</definedName>
    <definedName name="XRefPaste27Row" hidden="1">#REF!</definedName>
    <definedName name="XRefPaste28" localSheetId="0" hidden="1">#REF!</definedName>
    <definedName name="XRefPaste28" hidden="1">#REF!</definedName>
    <definedName name="XRefPaste28Row" localSheetId="0" hidden="1">#REF!</definedName>
    <definedName name="XRefPaste28Row" hidden="1">#REF!</definedName>
    <definedName name="XRefPaste29" localSheetId="0" hidden="1">#REF!</definedName>
    <definedName name="XRefPaste29" hidden="1">#REF!</definedName>
    <definedName name="XRefPaste29Row" localSheetId="0" hidden="1">#REF!</definedName>
    <definedName name="XRefPaste29Row" hidden="1">#REF!</definedName>
    <definedName name="XRefPaste2Row" localSheetId="0" hidden="1">#REF!</definedName>
    <definedName name="XRefPaste2Row" hidden="1">#REF!</definedName>
    <definedName name="XRefPaste3" localSheetId="0" hidden="1">#REF!</definedName>
    <definedName name="XRefPaste3" hidden="1">#REF!</definedName>
    <definedName name="XRefPaste30" localSheetId="0" hidden="1">#REF!</definedName>
    <definedName name="XRefPaste30" hidden="1">#REF!</definedName>
    <definedName name="XRefPaste30Row" localSheetId="0" hidden="1">#REF!</definedName>
    <definedName name="XRefPaste30Row" hidden="1">#REF!</definedName>
    <definedName name="XRefPaste31" localSheetId="0" hidden="1">#REF!</definedName>
    <definedName name="XRefPaste31" hidden="1">#REF!</definedName>
    <definedName name="XRefPaste31Row" localSheetId="0" hidden="1">#REF!</definedName>
    <definedName name="XRefPaste31Row" hidden="1">#REF!</definedName>
    <definedName name="XRefPaste32" localSheetId="0" hidden="1">#REF!</definedName>
    <definedName name="XRefPaste32" hidden="1">#REF!</definedName>
    <definedName name="XRefPaste32Row" localSheetId="0" hidden="1">#REF!</definedName>
    <definedName name="XRefPaste32Row" hidden="1">#REF!</definedName>
    <definedName name="XRefPaste33" localSheetId="0" hidden="1">#REF!</definedName>
    <definedName name="XRefPaste33" hidden="1">#REF!</definedName>
    <definedName name="XRefPaste33Row" localSheetId="0" hidden="1">[17]XREF!#REF!</definedName>
    <definedName name="XRefPaste33Row" hidden="1">[17]XREF!#REF!</definedName>
    <definedName name="XRefPaste34" localSheetId="0" hidden="1">#REF!</definedName>
    <definedName name="XRefPaste34" hidden="1">#REF!</definedName>
    <definedName name="XRefPaste34Row" hidden="1">#N/A</definedName>
    <definedName name="XRefPaste35" localSheetId="0" hidden="1">#REF!</definedName>
    <definedName name="XRefPaste35" hidden="1">#REF!</definedName>
    <definedName name="XRefPaste35Row" hidden="1">#N/A</definedName>
    <definedName name="XRefPaste36" localSheetId="0" hidden="1">#REF!</definedName>
    <definedName name="XRefPaste36" hidden="1">#REF!</definedName>
    <definedName name="XRefPaste36Row" hidden="1">#N/A</definedName>
    <definedName name="XRefPaste37" localSheetId="0" hidden="1">#REF!</definedName>
    <definedName name="XRefPaste37" hidden="1">#REF!</definedName>
    <definedName name="XRefPaste37Row" hidden="1">#N/A</definedName>
    <definedName name="XRefPaste38" localSheetId="0" hidden="1">#REF!</definedName>
    <definedName name="XRefPaste38" hidden="1">#REF!</definedName>
    <definedName name="XRefPaste38Row" hidden="1">#N/A</definedName>
    <definedName name="XRefPaste39" localSheetId="0" hidden="1">#REF!</definedName>
    <definedName name="XRefPaste39" hidden="1">#REF!</definedName>
    <definedName name="XRefPaste39Row" hidden="1">#N/A</definedName>
    <definedName name="XRefPaste3Row" localSheetId="0" hidden="1">#REF!</definedName>
    <definedName name="XRefPaste3Row" hidden="1">#REF!</definedName>
    <definedName name="XRefPaste4" localSheetId="0" hidden="1">#REF!</definedName>
    <definedName name="XRefPaste4" hidden="1">#REF!</definedName>
    <definedName name="XRefPaste40" localSheetId="0" hidden="1">#REF!</definedName>
    <definedName name="XRefPaste40" hidden="1">#REF!</definedName>
    <definedName name="XRefPaste40Row" hidden="1">#N/A</definedName>
    <definedName name="XRefPaste41" localSheetId="0" hidden="1">#REF!</definedName>
    <definedName name="XRefPaste41" hidden="1">#REF!</definedName>
    <definedName name="XRefPaste41Row" hidden="1">#N/A</definedName>
    <definedName name="XRefPaste42" localSheetId="0" hidden="1">#REF!</definedName>
    <definedName name="XRefPaste42" hidden="1">#REF!</definedName>
    <definedName name="XRefPaste42Row" hidden="1">#N/A</definedName>
    <definedName name="XRefPaste43" localSheetId="0" hidden="1">#REF!</definedName>
    <definedName name="XRefPaste43" hidden="1">#REF!</definedName>
    <definedName name="XRefPaste43Row" hidden="1">#N/A</definedName>
    <definedName name="XRefPaste44" localSheetId="0" hidden="1">#REF!</definedName>
    <definedName name="XRefPaste44" hidden="1">#REF!</definedName>
    <definedName name="XRefPaste44Row" hidden="1">#N/A</definedName>
    <definedName name="XRefPaste45" localSheetId="0" hidden="1">#REF!</definedName>
    <definedName name="XRefPaste45" hidden="1">#REF!</definedName>
    <definedName name="XRefPaste45Row" hidden="1">#N/A</definedName>
    <definedName name="XRefPaste46" localSheetId="0" hidden="1">#REF!</definedName>
    <definedName name="XRefPaste46" hidden="1">#REF!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9" localSheetId="0" hidden="1">#REF!</definedName>
    <definedName name="XRefPaste49" hidden="1">#REF!</definedName>
    <definedName name="XRefPaste4Row" localSheetId="0" hidden="1">#REF!</definedName>
    <definedName name="XRefPaste4Row" hidden="1">#REF!</definedName>
    <definedName name="XRefPaste5" localSheetId="0" hidden="1">#REF!</definedName>
    <definedName name="XRefPaste5" hidden="1">#REF!</definedName>
    <definedName name="XRefPaste50" localSheetId="0" hidden="1">#REF!</definedName>
    <definedName name="XRefPaste50" hidden="1">#REF!</definedName>
    <definedName name="XRefPaste51" localSheetId="0" hidden="1">#REF!</definedName>
    <definedName name="XRefPaste51" hidden="1">#REF!</definedName>
    <definedName name="XRefPaste52" localSheetId="0" hidden="1">#REF!</definedName>
    <definedName name="XRefPaste52" hidden="1">#REF!</definedName>
    <definedName name="XRefPaste53" localSheetId="0" hidden="1">#REF!</definedName>
    <definedName name="XRefPaste53" hidden="1">#REF!</definedName>
    <definedName name="XRefPaste54" localSheetId="0" hidden="1">#REF!</definedName>
    <definedName name="XRefPaste54" hidden="1">#REF!</definedName>
    <definedName name="XRefPaste55" localSheetId="0" hidden="1">#REF!</definedName>
    <definedName name="XRefPaste55" hidden="1">#REF!</definedName>
    <definedName name="XRefPaste56" localSheetId="0" hidden="1">#REF!</definedName>
    <definedName name="XRefPaste56" hidden="1">#REF!</definedName>
    <definedName name="XRefPaste57" localSheetId="0" hidden="1">#REF!</definedName>
    <definedName name="XRefPaste57" hidden="1">#REF!</definedName>
    <definedName name="XRefPaste58" localSheetId="0" hidden="1">#REF!</definedName>
    <definedName name="XRefPaste58" hidden="1">#REF!</definedName>
    <definedName name="XRefPaste59" hidden="1">'[11]전송선로설비 (2)'!$N$44</definedName>
    <definedName name="XRefPaste5Row" localSheetId="0" hidden="1">#REF!</definedName>
    <definedName name="XRefPaste5Row" hidden="1">#REF!</definedName>
    <definedName name="XRefPaste6" localSheetId="0" hidden="1">#REF!</definedName>
    <definedName name="XRefPaste6" hidden="1">#REF!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6" localSheetId="0" hidden="1">'[18]5423'!#REF!</definedName>
    <definedName name="XRefPaste66" hidden="1">'[18]5423'!#REF!</definedName>
    <definedName name="XRefPaste67" localSheetId="0" hidden="1">'[18]5423'!#REF!</definedName>
    <definedName name="XRefPaste67" hidden="1">'[18]5423'!#REF!</definedName>
    <definedName name="XRefPaste68" localSheetId="0" hidden="1">'[15]PAJE,PRJE'!#REF!</definedName>
    <definedName name="XRefPaste68" hidden="1">'[15]PAJE,PRJE'!#REF!</definedName>
    <definedName name="XRefPaste69" localSheetId="0" hidden="1">'[15]PAJE,PRJE'!#REF!</definedName>
    <definedName name="XRefPaste69" hidden="1">'[15]PAJE,PRJE'!#REF!</definedName>
    <definedName name="XRefPaste6Row" localSheetId="0" hidden="1">#REF!</definedName>
    <definedName name="XRefPaste6Row" hidden="1">#REF!</definedName>
    <definedName name="XRefPaste7" localSheetId="0" hidden="1">#REF!</definedName>
    <definedName name="XRefPaste7" hidden="1">#REF!</definedName>
    <definedName name="XRefPaste70" localSheetId="0" hidden="1">'[15]PAJE,PRJE'!#REF!</definedName>
    <definedName name="XRefPaste70" hidden="1">'[15]PAJE,PRJE'!#REF!</definedName>
    <definedName name="XRefPaste71" localSheetId="0" hidden="1">'[15]PAJE,PRJE'!#REF!</definedName>
    <definedName name="XRefPaste71" hidden="1">'[15]PAJE,PRJE'!#REF!</definedName>
    <definedName name="XRefPaste72" hidden="1">'[11]건물 (2)'!$Z$7</definedName>
    <definedName name="XRefPaste73" hidden="1">'[11]건물 (2)'!$X$7</definedName>
    <definedName name="XRefPaste74" localSheetId="0" hidden="1">#REF!</definedName>
    <definedName name="XRefPaste74" hidden="1">#REF!</definedName>
    <definedName name="XRefPaste75" hidden="1">'[11]구축물 (2)'!$R$12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9" hidden="1">'[11]차량운반구 (2)'!$Y$55</definedName>
    <definedName name="XRefPaste7Row" localSheetId="0" hidden="1">#REF!</definedName>
    <definedName name="XRefPaste7Row" hidden="1">#REF!</definedName>
    <definedName name="XRefPaste8" localSheetId="0" hidden="1">#REF!</definedName>
    <definedName name="XRefPaste8" hidden="1">#REF!</definedName>
    <definedName name="XRefPaste80" localSheetId="0" hidden="1">#REF!</definedName>
    <definedName name="XRefPaste80" hidden="1">#REF!</definedName>
    <definedName name="XRefPaste81" hidden="1">'[11]차량운반구 (2)'!$U$55</definedName>
    <definedName name="XRefPaste82" hidden="1">'[11]전송선로설비 (2)'!$Y$21</definedName>
    <definedName name="XRefPaste83" localSheetId="0" hidden="1">#REF!</definedName>
    <definedName name="XRefPaste83" hidden="1">#REF!</definedName>
    <definedName name="XRefPaste84" hidden="1">'[11]전송선로설비 (2)'!$U$21</definedName>
    <definedName name="XRefPaste85" hidden="1">'[11]컨버터 (2)'!$R$8</definedName>
    <definedName name="XRefPaste86" hidden="1">'[11]집기비품 (2)'!$Y$94</definedName>
    <definedName name="XRefPaste87" hidden="1">'[11]집기비품 (2)'!$U$94</definedName>
    <definedName name="XRefPaste88" hidden="1">'[11]집기비품 (2)'!$W$143</definedName>
    <definedName name="XRefPaste89" hidden="1">'[11]공구기구 (2)'!$W$7</definedName>
    <definedName name="XRefPaste89Row" localSheetId="0" hidden="1">'[6]2600'!#REF!</definedName>
    <definedName name="XRefPaste89Row" hidden="1">'[6]2600'!#REF!</definedName>
    <definedName name="XRefPaste8Row" localSheetId="0" hidden="1">#REF!</definedName>
    <definedName name="XRefPaste8Row" hidden="1">#REF!</definedName>
    <definedName name="XRefPaste9" localSheetId="0" hidden="1">#REF!</definedName>
    <definedName name="XRefPaste9" hidden="1">#REF!</definedName>
    <definedName name="XRefPaste90" hidden="1">'[11]공구기구 (2)'!$S$7</definedName>
    <definedName name="XRefPaste90Row" localSheetId="0" hidden="1">'[6]2600'!#REF!</definedName>
    <definedName name="XRefPaste90Row" hidden="1">'[6]2600'!#REF!</definedName>
    <definedName name="XRefPaste91" localSheetId="0" hidden="1">'[6]2500'!#REF!</definedName>
    <definedName name="XRefPaste91" hidden="1">'[6]2500'!#REF!</definedName>
    <definedName name="XRefPaste91Row" localSheetId="0" hidden="1">'[6]2600'!#REF!</definedName>
    <definedName name="XRefPaste91Row" hidden="1">'[6]2600'!#REF!</definedName>
    <definedName name="XRefPaste92" localSheetId="0" hidden="1">'[6]2500'!#REF!</definedName>
    <definedName name="XRefPaste92" hidden="1">'[6]2500'!#REF!</definedName>
    <definedName name="XRefPaste92Row" localSheetId="0" hidden="1">'[6]2600'!#REF!</definedName>
    <definedName name="XRefPaste92Row" hidden="1">'[6]2600'!#REF!</definedName>
    <definedName name="XRefPaste93" localSheetId="0" hidden="1">'[6]2500'!#REF!</definedName>
    <definedName name="XRefPaste93" hidden="1">'[6]2500'!#REF!</definedName>
    <definedName name="XRefPaste93Row" localSheetId="0" hidden="1">'[6]2600'!#REF!</definedName>
    <definedName name="XRefPaste93Row" hidden="1">'[6]2600'!#REF!</definedName>
    <definedName name="XRefPaste94Row" localSheetId="0" hidden="1">'[6]2600'!#REF!</definedName>
    <definedName name="XRefPaste94Row" hidden="1">'[6]2600'!#REF!</definedName>
    <definedName name="XRefPaste95Row" localSheetId="0" hidden="1">'[6]2600'!#REF!</definedName>
    <definedName name="XRefPaste95Row" hidden="1">'[6]2600'!#REF!</definedName>
    <definedName name="XRefPaste96" localSheetId="0" hidden="1">'[6]2500'!#REF!</definedName>
    <definedName name="XRefPaste96" hidden="1">'[6]2500'!#REF!</definedName>
    <definedName name="XRefPaste96Row" localSheetId="0" hidden="1">'[6]2600'!#REF!</definedName>
    <definedName name="XRefPaste96Row" hidden="1">'[6]2600'!#REF!</definedName>
    <definedName name="XRefPaste97" localSheetId="0" hidden="1">'[6]2500'!#REF!</definedName>
    <definedName name="XRefPaste97" hidden="1">'[6]2500'!#REF!</definedName>
    <definedName name="XRefPaste97Row" localSheetId="0" hidden="1">'[6]2600'!#REF!</definedName>
    <definedName name="XRefPaste97Row" hidden="1">'[6]2600'!#REF!</definedName>
    <definedName name="XRefPaste98" localSheetId="0" hidden="1">'[6]2500'!#REF!</definedName>
    <definedName name="XRefPaste98" hidden="1">'[6]2500'!#REF!</definedName>
    <definedName name="XRefPaste98Row" localSheetId="0" hidden="1">'[6]2600'!#REF!</definedName>
    <definedName name="XRefPaste98Row" hidden="1">'[6]2600'!#REF!</definedName>
    <definedName name="XRefPaste99" localSheetId="0" hidden="1">'[6]2500'!#REF!</definedName>
    <definedName name="XRefPaste99" hidden="1">'[6]2500'!#REF!</definedName>
    <definedName name="XRefPaste99Row" localSheetId="0" hidden="1">'[6]2600'!#REF!</definedName>
    <definedName name="XRefPaste99Row" hidden="1">'[6]2600'!#REF!</definedName>
    <definedName name="XRefPaste9Row" localSheetId="0" hidden="1">#REF!</definedName>
    <definedName name="XRefPaste9Row" hidden="1">#REF!</definedName>
    <definedName name="XRefPasteRangeCount" hidden="1">57</definedName>
    <definedName name="XS" hidden="1">{#N/A,#N/A,FALSE,"을지 (4)";#N/A,#N/A,FALSE,"을지 (5)";#N/A,#N/A,FALSE,"을지 (6)"}</definedName>
    <definedName name="z" hidden="1">{#N/A,#N/A,FALSE,"Aging Summary";#N/A,#N/A,FALSE,"Ratio Analysis";#N/A,#N/A,FALSE,"Test 120 Day Accts";#N/A,#N/A,FALSE,"Tickmarks"}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" hidden="1">{#N/A,#N/A,FALSE,"BS";#N/A,#N/A,FALSE,"PL";#N/A,#N/A,FALSE,"처분";#N/A,#N/A,FALSE,"현금";#N/A,#N/A,FALSE,"매출";#N/A,#N/A,FALSE,"원가";#N/A,#N/A,FALSE,"경영"}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localSheetId="0" hidden="1">[19]F456!#REF!</definedName>
    <definedName name="가나" hidden="1">[19]F456!#REF!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감가상" hidden="1">{"'통신지'!$A$1:$J$41"}</definedName>
    <definedName name="감가상각재계산" hidden="1">{"'통신지'!$A$1:$J$41"}</definedName>
    <definedName name="감가상각재계산수정전" hidden="1">{"'통신지'!$A$1:$J$41"}</definedName>
    <definedName name="감가상갃ㄴ" hidden="1">{"'통신지'!$A$1:$J$41"}</definedName>
    <definedName name="개발비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건설중인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겨" hidden="1">{#N/A,#N/A,FALSE,"BS";#N/A,#N/A,FALSE,"PL";#N/A,#N/A,FALSE,"처분";#N/A,#N/A,FALSE,"현금";#N/A,#N/A,FALSE,"매출";#N/A,#N/A,FALSE,"원가";#N/A,#N/A,FALSE,"경영"}</definedName>
    <definedName name="경남" hidden="1">{#N/A,#N/A,FALSE,"Aging Summary";#N/A,#N/A,FALSE,"Ratio Analysis";#N/A,#N/A,FALSE,"Test 120 Day Accts";#N/A,#N/A,FALSE,"Tickmarks"}</definedName>
    <definedName name="경영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{#N/A,#N/A,FALSE,"BS";#N/A,#N/A,FALSE,"PL";#N/A,#N/A,FALSE,"처분";#N/A,#N/A,FALSE,"현금";#N/A,#N/A,FALSE,"매출";#N/A,#N/A,FALSE,"원가";#N/A,#N/A,FALSE,"경영"}</definedName>
    <definedName name="경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과세표준" hidden="1">{#N/A,#N/A,FALSE,"Aging Summary";#N/A,#N/A,FALSE,"Ratio Analysis";#N/A,#N/A,FALSE,"Test 120 Day Accts";#N/A,#N/A,FALSE,"Tickmarks"}</definedName>
    <definedName name="괜찮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" hidden="1">{#N/A,#N/A,FALSE,"BS";#N/A,#N/A,FALSE,"PL";#N/A,#N/A,FALSE,"처분";#N/A,#N/A,FALSE,"현금";#N/A,#N/A,FALSE,"매출";#N/A,#N/A,FALSE,"원가";#N/A,#N/A,FALSE,"경영"}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존" hidden="1">{#N/A,#N/A,FALSE,"UNIT";#N/A,#N/A,FALSE,"UNIT";#N/A,#N/A,FALSE,"계정"}</definedName>
    <definedName name="기타" hidden="1">{#N/A,#N/A,FALSE,"BS";#N/A,#N/A,FALSE,"PL";#N/A,#N/A,FALSE,"처분";#N/A,#N/A,FALSE,"현금";#N/A,#N/A,FALSE,"매출";#N/A,#N/A,FALSE,"원가";#N/A,#N/A,FALSE,"경영"}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{#N/A,#N/A,FALSE,"총괄수정"}</definedName>
    <definedName name="김대업" hidden="1">{#N/A,#N/A,FALSE,"기술료 비교"}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{#N/A,#N/A,FALSE,"BS";#N/A,#N/A,FALSE,"PL";#N/A,#N/A,FALSE,"처분";#N/A,#N/A,FALSE,"현금";#N/A,#N/A,FALSE,"매출";#N/A,#N/A,FALSE,"원가";#N/A,#N/A,FALSE,"경영"}</definedName>
    <definedName name="ㄴㄴㅁ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난" hidden="1">{#N/A,#N/A,TRUE,"Summary";#N/A,#N/A,TRUE,"IS";#N/A,#N/A,TRUE,"Adj";#N/A,#N/A,TRUE,"BS";#N/A,#N/A,TRUE,"CF";#N/A,#N/A,TRUE,"Debt";#N/A,#N/A,TRUE,"IRR"}</definedName>
    <definedName name="난" hidden="1">{#N/A,#N/A,TRUE,"Summary";#N/A,#N/A,TRUE,"IS";#N/A,#N/A,TRUE,"Adj";#N/A,#N/A,TRUE,"BS";#N/A,#N/A,TRUE,"CF";#N/A,#N/A,TRUE,"Debt";#N/A,#N/A,TRUE,"IRR"}</definedName>
    <definedName name="녀" hidden="1">{#N/A,#N/A,FALSE,"BS";#N/A,#N/A,FALSE,"PL";#N/A,#N/A,FALSE,"처분";#N/A,#N/A,FALSE,"현금";#N/A,#N/A,FALSE,"매출";#N/A,#N/A,FALSE,"원가";#N/A,#N/A,FALSE,"경영"}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기대여금" hidden="1">{#N/A,#N/A,FALSE,"BS";#N/A,#N/A,FALSE,"PL";#N/A,#N/A,FALSE,"처분";#N/A,#N/A,FALSE,"현금";#N/A,#N/A,FALSE,"매출";#N/A,#N/A,FALSE,"원가";#N/A,#N/A,FALSE,"경영"}</definedName>
    <definedName name="단기매도" localSheetId="0" hidden="1">#REF!</definedName>
    <definedName name="단기매도" hidden="1">#REF!</definedName>
    <definedName name="단기차입금1" localSheetId="0" hidden="1">'[20]단기차입금(200006)'!#REF!</definedName>
    <definedName name="단기차입금1" hidden="1">'[20]단기차입금(200006)'!#REF!</definedName>
    <definedName name="대" localSheetId="0" hidden="1">#REF!</definedName>
    <definedName name="대" hidden="1">#REF!</definedName>
    <definedName name="대련" hidden="1">{#N/A,#N/A,FALSE,"UNIT";#N/A,#N/A,FALSE,"UNIT";#N/A,#N/A,FALSE,"계정"}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" hidden="1">{#N/A,#N/A,FALSE,"BS";#N/A,#N/A,FALSE,"PL";#N/A,#N/A,FALSE,"처분";#N/A,#N/A,FALSE,"현금";#N/A,#N/A,FALSE,"매출";#N/A,#N/A,FALSE,"원가";#N/A,#N/A,FALSE,"경영"}</definedName>
    <definedName name="대차대조표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localSheetId="0" hidden="1">'[6]2500'!#REF!</definedName>
    <definedName name="ㄹㄷㅈ" hidden="1">'[6]2500'!#REF!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hidden="1">{#N/A,#N/A,FALSE,"BS";#N/A,#N/A,FALSE,"PL";#N/A,#N/A,FALSE,"처분";#N/A,#N/A,FALSE,"현금";#N/A,#N/A,FALSE,"매출";#N/A,#N/A,FALSE,"원가";#N/A,#N/A,FALSE,"경영"}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ㄻㄴㅇㄻㅇㄻㄴㅊ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{#N/A,#N/A,FALSE,"BS";#N/A,#N/A,FALSE,"PL";#N/A,#N/A,FALSE,"처분";#N/A,#N/A,FALSE,"현금";#N/A,#N/A,FALSE,"매출";#N/A,#N/A,FALSE,"원가";#N/A,#N/A,FALSE,"경영"}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ㄴㅇㄻㄴㅇㄻ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ㅇ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ㄴ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ㄴㅁㅇㄴㄻㅇㄴㄻㄴㅇㄻㄴㅇㄻ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hidden="1">{#N/A,#N/A,FALSE,"BS";#N/A,#N/A,FALSE,"PL";#N/A,#N/A,FALSE,"처분";#N/A,#N/A,FALSE,"현금";#N/A,#N/A,FALSE,"매출";#N/A,#N/A,FALSE,"원가";#N/A,#N/A,FALSE,"경영"}</definedName>
    <definedName name="ㅁㅁㅁ" localSheetId="0" hidden="1">'[21]00''미수'!#REF!</definedName>
    <definedName name="ㅁㅁㅁ" hidden="1">'[21]00''미수'!#REF!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{#N/A,#N/A,FALSE,"BS";#N/A,#N/A,FALSE,"PL";#N/A,#N/A,FALSE,"처분";#N/A,#N/A,FALSE,"현금";#N/A,#N/A,FALSE,"매출";#N/A,#N/A,FALSE,"원가";#N/A,#N/A,FALSE,"경영"}</definedName>
    <definedName name="ㅁㅇㄴㄴ" hidden="1">{#N/A,#N/A,FALSE,"BS";#N/A,#N/A,FALSE,"PL";#N/A,#N/A,FALSE,"처분";#N/A,#N/A,FALSE,"현금";#N/A,#N/A,FALSE,"매출";#N/A,#N/A,FALSE,"원가";#N/A,#N/A,FALSE,"경영"}</definedName>
    <definedName name="ㅁㅇㄴㄻ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ㄴㄻ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ㄻㄴㅇㅁㄹㄹㅋ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ㄻㅇㄴㄻ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ㄻㅇㅊㅋㅌㅊ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ㅁㄻㄹㅇ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ㅁ" hidden="1">{#N/A,#N/A,FALSE,"BS";#N/A,#N/A,FALSE,"PL";#N/A,#N/A,FALSE,"처분";#N/A,#N/A,FALSE,"현금";#N/A,#N/A,FALSE,"매출";#N/A,#N/A,FALSE,"원가";#N/A,#N/A,FALSE,"경영"}</definedName>
    <definedName name="ㅁㅋㅌ" hidden="1">{#N/A,#N/A,FALSE,"BS";#N/A,#N/A,FALSE,"PL";#N/A,#N/A,FALSE,"처분";#N/A,#N/A,FALSE,"현금";#N/A,#N/A,FALSE,"매출";#N/A,#N/A,FALSE,"원가";#N/A,#N/A,FALSE,"경영"}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원가1" hidden="1">{#N/A,#N/A,FALSE,"Aging Summary";#N/A,#N/A,FALSE,"Ratio Analysis";#N/A,#N/A,FALSE,"Test 120 Day Accts";#N/A,#N/A,FALSE,"Tickmarks"}</definedName>
    <definedName name="매출채권2" hidden="1">{#N/A,#N/A,FALSE,"총괄수정"}</definedName>
    <definedName name="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" hidden="1">{#N/A,#N/A,FALSE,"UNIT";#N/A,#N/A,FALSE,"UNIT";#N/A,#N/A,FALSE,"계정"}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뮤" hidden="1">{#N/A,#N/A,FALSE,"기술료 비교"}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미지급이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ㄱㄷㅈㄱ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ㅂㅂㅂ" localSheetId="0" hidden="1">'[6]2500'!#REF!</definedName>
    <definedName name="ㅂㅂㅂㅂㅂㅂ" hidden="1">'[6]2500'!#REF!</definedName>
    <definedName name="반기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{#N/A,#N/A,FALSE,"Aging Summary";#N/A,#N/A,FALSE,"Ratio Analysis";#N/A,#N/A,FALSE,"Test 120 Day Accts";#N/A,#N/A,FALSE,"Tickmarks"}</definedName>
    <definedName name="볼트수정" hidden="1">{#N/A,#N/A,FALSE,"단축1";#N/A,#N/A,FALSE,"단축2";#N/A,#N/A,FALSE,"단축3";#N/A,#N/A,FALSE,"장축";#N/A,#N/A,FALSE,"4WD"}</definedName>
    <definedName name="부도11" localSheetId="0" hidden="1">#REF!</definedName>
    <definedName name="부도11" hidden="1">#REF!</definedName>
    <definedName name="부도어음11" localSheetId="0" hidden="1">#REF!</definedName>
    <definedName name="부도어음11" hidden="1">#REF!</definedName>
    <definedName name="부도어음12" localSheetId="0" hidden="1">#REF!</definedName>
    <definedName name="부도어음12" hidden="1">#REF!</definedName>
    <definedName name="부도어음2000.12" localSheetId="0" hidden="1">#REF!</definedName>
    <definedName name="부도어음2000.12" hidden="1">#REF!</definedName>
    <definedName name="부속" localSheetId="0" hidden="1">'[6]2200'!#REF!</definedName>
    <definedName name="부속" hidden="1">'[6]2200'!#REF!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분석" hidden="1">{#N/A,#N/A,FALSE,"BS";#N/A,#N/A,FALSE,"PL";#N/A,#N/A,FALSE,"처분";#N/A,#N/A,FALSE,"현금";#N/A,#N/A,FALSE,"매출";#N/A,#N/A,FALSE,"원가";#N/A,#N/A,FALSE,"경영"}</definedName>
    <definedName name="ㅅㄹㄷ" hidden="1">{#N/A,#N/A,FALSE,"BS";#N/A,#N/A,FALSE,"PL";#N/A,#N/A,FALSE,"처분";#N/A,#N/A,FALSE,"현금";#N/A,#N/A,FALSE,"매출";#N/A,#N/A,FALSE,"원가";#N/A,#N/A,FALSE,"경영"}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1" localSheetId="0" hidden="1">#REF!</definedName>
    <definedName name="사1" hidden="1">#REF!</definedName>
    <definedName name="사10" localSheetId="0" hidden="1">#REF!</definedName>
    <definedName name="사10" hidden="1">#REF!</definedName>
    <definedName name="사2" localSheetId="0" hidden="1">#REF!</definedName>
    <definedName name="사2" hidden="1">#REF!</definedName>
    <definedName name="사3" localSheetId="0" hidden="1">#REF!</definedName>
    <definedName name="사3" hidden="1">#REF!</definedName>
    <definedName name="사4" localSheetId="0" hidden="1">#REF!</definedName>
    <definedName name="사4" hidden="1">#REF!</definedName>
    <definedName name="사5" localSheetId="0" hidden="1">#REF!</definedName>
    <definedName name="사5" hidden="1">#REF!</definedName>
    <definedName name="사6" localSheetId="0" hidden="1">#REF!</definedName>
    <definedName name="사6" hidden="1">#REF!</definedName>
    <definedName name="사7" localSheetId="0" hidden="1">#REF!</definedName>
    <definedName name="사7" hidden="1">#REF!</definedName>
    <definedName name="사8" localSheetId="0" hidden="1">#REF!</definedName>
    <definedName name="사8" hidden="1">#REF!</definedName>
    <definedName name="사9" localSheetId="0" hidden="1">#REF!</definedName>
    <definedName name="사9" hidden="1">#REF!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장부가세" hidden="1">{#N/A,#N/A,FALSE,"Aging Summary";#N/A,#N/A,FALSE,"Ratio Analysis";#N/A,#N/A,FALSE,"Test 120 Day Accts";#N/A,#N/A,FALSE,"Tickmarks"}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새이름" hidden="1">{#N/A,#N/A,FALSE,"BS";#N/A,#N/A,FALSE,"PL";#N/A,#N/A,FALSE,"처분";#N/A,#N/A,FALSE,"현금";#N/A,#N/A,FALSE,"매출";#N/A,#N/A,FALSE,"원가";#N/A,#N/A,FALSE,"경영"}</definedName>
    <definedName name="선급금2" hidden="1">{#N/A,#N/A,FALSE,"BS";#N/A,#N/A,FALSE,"PL";#N/A,#N/A,FALSE,"처분";#N/A,#N/A,FALSE,"현금";#N/A,#N/A,FALSE,"매출";#N/A,#N/A,FALSE,"원가";#N/A,#N/A,FALSE,"경영"}</definedName>
    <definedName name="설계2팀" hidden="1">{#N/A,#N/A,FALSE,"UNIT";#N/A,#N/A,FALSE,"UNIT";#N/A,#N/A,FALSE,"계정"}</definedName>
    <definedName name="설문지" localSheetId="0" hidden="1">#REF!</definedName>
    <definedName name="설문지" hidden="1">#REF!</definedName>
    <definedName name="성" hidden="1">{#N/A,#N/A,FALSE,"UNIT";#N/A,#N/A,FALSE,"UNIT";#N/A,#N/A,FALSE,"계정"}</definedName>
    <definedName name="손익" hidden="1">{#N/A,#N/A,FALSE,"BS";#N/A,#N/A,FALSE,"PL";#N/A,#N/A,FALSE,"처분";#N/A,#N/A,FALSE,"현금";#N/A,#N/A,FALSE,"매출";#N/A,#N/A,FALSE,"원가";#N/A,#N/A,FALSE,"경영"}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시트자료1" localSheetId="0" hidden="1">#REF!</definedName>
    <definedName name="시트자료1" hidden="1">#REF!</definedName>
    <definedName name="시트자료2" localSheetId="0" hidden="1">#REF!</definedName>
    <definedName name="시트자료2" hidden="1">#REF!</definedName>
    <definedName name="시트자료3" localSheetId="0" hidden="1">#REF!</definedName>
    <definedName name="시트자료3" hidden="1">#REF!</definedName>
    <definedName name="시트자료4" localSheetId="0" hidden="1">#REF!</definedName>
    <definedName name="시트자료4" hidden="1">#REF!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ㄷㅀㅅ" hidden="1">{#N/A,#N/A,FALSE,"총괄수정"}</definedName>
    <definedName name="ㅇㄴㅇㅇ" hidden="1">{#N/A,#N/A,FALSE,"UNIT";#N/A,#N/A,FALSE,"UNIT";#N/A,#N/A,FALSE,"계정"}</definedName>
    <definedName name="ㅇㄷㄱ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localSheetId="0" hidden="1">[17]XREF!#REF!</definedName>
    <definedName name="ㅇㄹㅇㄴ" hidden="1">[17]XREF!#REF!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싸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닝ㄹ" hidden="1">{#N/A,#N/A,FALSE,"Aging Summary";#N/A,#N/A,FALSE,"Ratio Analysis";#N/A,#N/A,FALSE,"Test 120 Day Accts";#N/A,#N/A,FALSE,"Tickmarks"}</definedName>
    <definedName name="어음차입금" localSheetId="0" hidden="1">#REF!</definedName>
    <definedName name="어음차입금" hidden="1">#REF!</definedName>
    <definedName name="어ㅓ리ㅓㅁ닝니ㅏㅏ먿님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업체별" hidden="1">{#N/A,#N/A,FALSE,"총괄수정"}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에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도별추정손익계산서1q" hidden="1">{#N/A,#N/A,FALSE,"총괄수정"}</definedName>
    <definedName name="연말손익" hidden="1">{#N/A,#N/A,FALSE,"UNIT";#N/A,#N/A,FALSE,"UNIT";#N/A,#N/A,FALSE,"계정"}</definedName>
    <definedName name="연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영" hidden="1">{#N/A,#N/A,TRUE,"Summary";#N/A,#N/A,TRUE,"IS";#N/A,#N/A,TRUE,"Adj";#N/A,#N/A,TRUE,"BS";#N/A,#N/A,TRUE,"CF";#N/A,#N/A,TRUE,"Debt";#N/A,#N/A,TRUE,"IRR"}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화환산" hidden="1">{#N/A,#N/A,TRUE,"Summary";#N/A,#N/A,TRUE,"IS";#N/A,#N/A,TRUE,"Adj";#N/A,#N/A,TRUE,"BS";#N/A,#N/A,TRUE,"CF";#N/A,#N/A,TRUE,"Debt";#N/A,#N/A,TRUE,"IRR"}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단위" hidden="1">{#N/A,#N/A,FALSE,"Aging Summary";#N/A,#N/A,FALSE,"Ratio Analysis";#N/A,#N/A,FALSE,"Test 120 Day Accts";#N/A,#N/A,FALSE,"Tickmarks"}</definedName>
    <definedName name="원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동성사채" localSheetId="0" hidden="1">#REF!</definedName>
    <definedName name="유동성사채" hidden="1">#REF!</definedName>
    <definedName name="유동화사채" localSheetId="0" hidden="1">#REF!</definedName>
    <definedName name="유동화사채" hidden="1">#REF!</definedName>
    <definedName name="유슨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hidden="1">{#N/A,#N/A,TRUE,"Summary";#N/A,#N/A,TRUE,"IS";#N/A,#N/A,TRUE,"Adj";#N/A,#N/A,TRUE,"BS";#N/A,#N/A,TRUE,"CF";#N/A,#N/A,TRUE,"Debt";#N/A,#N/A,TRUE,"IRR"}</definedName>
    <definedName name="이동" hidden="1">{#N/A,#N/A,FALSE,"을지 (4)";#N/A,#N/A,FALSE,"을지 (5)";#N/A,#N/A,FALSE,"을지 (6)"}</definedName>
    <definedName name="이런" localSheetId="0" hidden="1">#REF!</definedName>
    <definedName name="이런" hidden="1">#REF!</definedName>
    <definedName name="이런2" localSheetId="0" hidden="1">#REF!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성일" hidden="1">{"'5국공정'!$A$1:$E$128"}</definedName>
    <definedName name="이우" hidden="1">{"'통신지'!$A$1:$J$41"}</definedName>
    <definedName name="인" hidden="1">{#N/A,#N/A,FALSE,"총괄수정"}</definedName>
    <definedName name="인니" hidden="1">{#N/A,#N/A,FALSE,"UNIT";#N/A,#N/A,FALSE,"UNIT";#N/A,#N/A,FALSE,"계정"}</definedName>
    <definedName name="인당" hidden="1">{#N/A,#N/A,FALSE,"총괄수정"}</definedName>
    <definedName name="인도네시아" hidden="1">{#N/A,#N/A,FALSE,"UNIT";#N/A,#N/A,FALSE,"UNIT";#N/A,#N/A,FALSE,"계정"}</definedName>
    <definedName name="인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시적차이대사" hidden="1">{#N/A,#N/A,FALSE,"총괄수정"}</definedName>
    <definedName name="일시적차이및이월결손금1q" hidden="1">{#N/A,#N/A,FALSE,"총괄수정"}</definedName>
    <definedName name="일위" localSheetId="0" hidden="1">[6]INDEX!#REF!</definedName>
    <definedName name="일위" hidden="1">[6]INDEX!#REF!</definedName>
    <definedName name="일자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정97" localSheetId="0" hidden="1">#REF!</definedName>
    <definedName name="일정97" hidden="1">#REF!</definedName>
    <definedName name="임대료" hidden="1">{#N/A,#N/A,FALSE,"Aging Summary";#N/A,#N/A,FALSE,"Ratio Analysis";#N/A,#N/A,FALSE,"Test 120 Day Accts";#N/A,#N/A,FALSE,"Tickmarks"}</definedName>
    <definedName name="잉ㅅ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ㅂㄷㄱㅂㅈㄷㄱㅂㄷ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" hidden="1">{#N/A,#N/A,FALSE,"BS";#N/A,#N/A,FALSE,"PL";#N/A,#N/A,FALSE,"처분";#N/A,#N/A,FALSE,"현금";#N/A,#N/A,FALSE,"매출";#N/A,#N/A,FALSE,"원가";#N/A,#N/A,FALSE,"경영"}</definedName>
    <definedName name="자본변동표3" hidden="1">{#N/A,#N/A,FALSE,"Aging Summary";#N/A,#N/A,FALSE,"Ratio Analysis";#N/A,#N/A,FALSE,"Test 120 Day Accts";#N/A,#N/A,FALSE,"Tickmarks"}</definedName>
    <definedName name="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잡손실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재무제표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저장품" hidden="1">{#N/A,#N/A,FALSE,"Aging Summary";#N/A,#N/A,FALSE,"Ratio Analysis";#N/A,#N/A,FALSE,"Test 120 Day Accts";#N/A,#N/A,FALSE,"Tickmarks"}</definedName>
    <definedName name="저장품수불" hidden="1">{#N/A,#N/A,FALSE,"Aging Summary";#N/A,#N/A,FALSE,"Ratio Analysis";#N/A,#N/A,FALSE,"Test 120 Day Accts";#N/A,#N/A,FALSE,"Tickmarks"}</definedName>
    <definedName name="저저" hidden="1">{#N/A,#N/A,FALSE,"UNIT";#N/A,#N/A,FALSE,"UNIT";#N/A,#N/A,FALSE,"계정"}</definedName>
    <definedName name="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접대" hidden="1">{#N/A,#N/A,FALSE,"Aging Summary";#N/A,#N/A,FALSE,"Ratio Analysis";#N/A,#N/A,FALSE,"Test 120 Day Accts";#N/A,#N/A,FALSE,"Tickmarks"}</definedName>
    <definedName name="정" hidden="1">{#N/A,#N/A,FALSE,"UNIT";#N/A,#N/A,FALSE,"UNIT";#N/A,#N/A,FALSE,"계정"}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조원가" hidden="1">{#N/A,#N/A,TRUE,"Summary";#N/A,#N/A,TRUE,"IS";#N/A,#N/A,TRUE,"Adj";#N/A,#N/A,TRUE,"BS";#N/A,#N/A,TRUE,"CF";#N/A,#N/A,TRUE,"Debt";#N/A,#N/A,TRUE,"IRR"}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" hidden="1">{#N/A,#N/A,FALSE,"BS";#N/A,#N/A,FALSE,"PL";#N/A,#N/A,FALSE,"처분";#N/A,#N/A,FALSE,"현금";#N/A,#N/A,FALSE,"매출";#N/A,#N/A,FALSE,"원가";#N/A,#N/A,FALSE,"경영"}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ㅌ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" hidden="1">{#N/A,#N/A,FALSE,"UNIT";#N/A,#N/A,FALSE,"UNIT";#N/A,#N/A,FALSE,"계정"}</definedName>
    <definedName name="ㅋㅊㅌㅍㅋㅁㅇㄿ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localSheetId="0" hidden="1">'[6]2500'!#REF!</definedName>
    <definedName name="ㅋㅋㅋㅋ" hidden="1">'[6]2500'!#REF!</definedName>
    <definedName name="ㅋ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ㅌㅊㅊㅁ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ㅊㅇㄻㄷㅈㄹ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ㅋㅊㅍㄹ픃룡ㅅㅎ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ㅌ" hidden="1">{#N/A,#N/A,FALSE,"BS";#N/A,#N/A,FALSE,"PL";#N/A,#N/A,FALSE,"처분";#N/A,#N/A,FALSE,"현금";#N/A,#N/A,FALSE,"매출";#N/A,#N/A,FALSE,"원가";#N/A,#N/A,FALSE,"경영"}</definedName>
    <definedName name="테라" hidden="1">{#N/A,#N/A,FALSE,"BS";#N/A,#N/A,FALSE,"PL";#N/A,#N/A,FALSE,"처분";#N/A,#N/A,FALSE,"현금";#N/A,#N/A,FALSE,"매출";#N/A,#N/A,FALSE,"원가";#N/A,#N/A,FALSE,"경영"}</definedName>
    <definedName name="테스ㅡㅌ" hidden="1">{#N/A,#N/A,FALSE,"BS";#N/A,#N/A,FALSE,"PL";#N/A,#N/A,FALSE,"처분";#N/A,#N/A,FALSE,"현금";#N/A,#N/A,FALSE,"매출";#N/A,#N/A,FALSE,"원가";#N/A,#N/A,FALSE,"경영"}</definedName>
    <definedName name="통보용" hidden="1">{#N/A,#N/A,FALSE,"총괄수정"}</definedName>
    <definedName name="통보현황" hidden="1">{#N/A,#N/A,FALSE,"총괄수정"}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특정현금과예금" localSheetId="0" hidden="1">#REF!</definedName>
    <definedName name="특정현금과예금" hidden="1">#REF!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localSheetId="0" hidden="1">[6]INDEX!#REF!</definedName>
    <definedName name="ㅍㄹㄷㅁㅁ" hidden="1">[6]INDEX!#REF!</definedName>
    <definedName name="ㅍㅊㅌㅋㅍㅁ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ㅍㅋㅊㅌㅍㅋㅊ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ㅍㅍㅇㅌ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ㅍㅍㅍㅍ" hidden="1">{#N/A,#N/A,FALSE,"UNIT";#N/A,#N/A,FALSE,"UNIT";#N/A,#N/A,FALSE,"계정"}</definedName>
    <definedName name="ㅍㅍㅍㅍㅍㅍ" localSheetId="0" hidden="1">[6]INDEX!#REF!</definedName>
    <definedName name="ㅍㅍㅍㅍㅍㅍ" hidden="1">[6]INDEX!#REF!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포" hidden="1">{#N/A,#N/A,FALSE,"UNIT";#N/A,#N/A,FALSE,"UNIT";#N/A,#N/A,FALSE,"계정"}</definedName>
    <definedName name="표준명세서" hidden="1">{#N/A,#N/A,FALSE,"Aging Summary";#N/A,#N/A,FALSE,"Ratio Analysis";#N/A,#N/A,FALSE,"Test 120 Day Accts";#N/A,#N/A,FALSE,"Tickmarks"}</definedName>
    <definedName name="ㅎ" hidden="1">{#N/A,#N/A,FALSE,"을지 (4)";#N/A,#N/A,FALSE,"을지 (5)";#N/A,#N/A,FALSE,"을지 (6)"}</definedName>
    <definedName name="ㅎㄹㅇ" hidden="1">{#N/A,#N/A,FALSE,"BS";#N/A,#N/A,FALSE,"PL";#N/A,#N/A,FALSE,"처분";#N/A,#N/A,FALSE,"현금";#N/A,#N/A,FALSE,"매출";#N/A,#N/A,FALSE,"원가";#N/A,#N/A,FALSE,"경영"}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하" hidden="1">{#N/A,#N/A,FALSE,"BS";#N/A,#N/A,FALSE,"PL";#N/A,#N/A,FALSE,"처분";#N/A,#N/A,FALSE,"현금";#N/A,#N/A,FALSE,"매출";#N/A,#N/A,FALSE,"원가";#N/A,#N/A,FALSE,"경영"}</definedName>
    <definedName name="한국8" localSheetId="0" hidden="1">#REF!</definedName>
    <definedName name="한국8" hidden="1">#REF!</definedName>
    <definedName name="한국9" localSheetId="0" hidden="1">#REF!</definedName>
    <definedName name="한국9" hidden="1">#REF!</definedName>
    <definedName name="한미" localSheetId="0" hidden="1">#REF!</definedName>
    <definedName name="한미" hidden="1">#REF!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flow검증" hidden="1">{#N/A,#N/A,FALSE,"BS";#N/A,#N/A,FALSE,"PL";#N/A,#N/A,FALSE,"처분";#N/A,#N/A,FALSE,"현금";#N/A,#N/A,FALSE,"매출";#N/A,#N/A,FALSE,"원가";#N/A,#N/A,FALSE,"경영"}</definedName>
    <definedName name="현금흐름검증조서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아ㅓㄹ" hidden="1">{#N/A,#N/A,TRUE,"Summary";#N/A,#N/A,TRUE,"IS";#N/A,#N/A,TRUE,"Adj";#N/A,#N/A,TRUE,"BS";#N/A,#N/A,TRUE,"CF";#N/A,#N/A,TRUE,"Debt";#N/A,#N/A,TRUE,"IRR"}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ㅏ" hidden="1">{#N/A,#N/A,FALSE,"Aging Summary";#N/A,#N/A,FALSE,"Ratio Analysis";#N/A,#N/A,FALSE,"Test 120 Day Accts";#N/A,#N/A,FALSE,"Tickmarks"}</definedName>
    <definedName name="ㅏㅐㅏㅔㅐㅣ" hidden="1">{#N/A,#N/A,FALSE,"UNIT";#N/A,#N/A,FALSE,"UNIT";#N/A,#N/A,FALSE,"계정"}</definedName>
    <definedName name="ㅏㅓㅗ" hidden="1">{#N/A,#N/A,FALSE,"BS";#N/A,#N/A,FALSE,"PL";#N/A,#N/A,FALSE,"처분";#N/A,#N/A,FALSE,"현금";#N/A,#N/A,FALSE,"매출";#N/A,#N/A,FALSE,"원가";#N/A,#N/A,FALSE,"경영"}</definedName>
    <definedName name="ㅏㅣ" hidden="1">{#N/A,#N/A,FALSE,"총괄수정"}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ㅓㅓㅓㅓㅓㅓㅓ" hidden="1">{#N/A,#N/A,FALSE,"BS";#N/A,#N/A,FALSE,"PL";#N/A,#N/A,FALSE,"처분";#N/A,#N/A,FALSE,"현금";#N/A,#N/A,FALSE,"매출";#N/A,#N/A,FALSE,"원가";#N/A,#N/A,FALSE,"경영"}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ㅗㅗ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가ㅓㅈ덜" hidden="1">{#N/A,#N/A,FALSE,"BS";#N/A,#N/A,FALSE,"PL";#N/A,#N/A,FALSE,"처분";#N/A,#N/A,FALSE,"현금";#N/A,#N/A,FALSE,"매출";#N/A,#N/A,FALSE,"원가";#N/A,#N/A,FALSE,"경영"}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7" i="6" l="1"/>
  <c r="F8" i="5" l="1"/>
  <c r="F52" i="6"/>
  <c r="H31" i="10"/>
  <c r="H30" i="10"/>
  <c r="H29" i="10"/>
  <c r="D6" i="5" l="1"/>
  <c r="D8" i="5" s="1"/>
  <c r="D17" i="5" s="1"/>
  <c r="E146" i="10"/>
  <c r="B6" i="5"/>
  <c r="B8" i="5" s="1"/>
  <c r="B11" i="5" s="1"/>
  <c r="B18" i="5" s="1"/>
  <c r="C6" i="5"/>
  <c r="Q51" i="6"/>
  <c r="P51" i="6"/>
  <c r="O51" i="6"/>
  <c r="N51" i="6"/>
  <c r="M51" i="6"/>
  <c r="Q50" i="6"/>
  <c r="P50" i="6"/>
  <c r="O50" i="6"/>
  <c r="N50" i="6"/>
  <c r="M50" i="6"/>
  <c r="Q49" i="6"/>
  <c r="P49" i="6"/>
  <c r="O49" i="6"/>
  <c r="N49" i="6"/>
  <c r="M49" i="6"/>
  <c r="Q48" i="6"/>
  <c r="P48" i="6"/>
  <c r="O48" i="6"/>
  <c r="N48" i="6"/>
  <c r="M48" i="6"/>
  <c r="Q47" i="6"/>
  <c r="P47" i="6"/>
  <c r="O47" i="6"/>
  <c r="N47" i="6"/>
  <c r="M47" i="6"/>
  <c r="Q46" i="6"/>
  <c r="P46" i="6"/>
  <c r="O46" i="6"/>
  <c r="N46" i="6"/>
  <c r="M46" i="6"/>
  <c r="Q45" i="6"/>
  <c r="O45" i="6"/>
  <c r="N45" i="6"/>
  <c r="M45" i="6"/>
  <c r="G15" i="5"/>
  <c r="F15" i="5"/>
  <c r="E15" i="5"/>
  <c r="D15" i="5"/>
  <c r="C15" i="5"/>
  <c r="G6" i="5"/>
  <c r="G8" i="5" s="1"/>
  <c r="G17" i="5" s="1"/>
  <c r="F6" i="5"/>
  <c r="F17" i="5" s="1"/>
  <c r="E6" i="5"/>
  <c r="E8" i="5" s="1"/>
  <c r="E17" i="5" s="1"/>
  <c r="C8" i="5"/>
  <c r="C17" i="5" s="1"/>
  <c r="B51" i="6"/>
  <c r="B62" i="6" s="1"/>
  <c r="B50" i="6"/>
  <c r="S50" i="6" s="1"/>
  <c r="B49" i="6"/>
  <c r="B60" i="6" s="1"/>
  <c r="B48" i="6"/>
  <c r="B59" i="6" s="1"/>
  <c r="B47" i="6"/>
  <c r="S47" i="6" s="1"/>
  <c r="B46" i="6"/>
  <c r="B57" i="6" s="1"/>
  <c r="B45" i="6"/>
  <c r="S45" i="6" s="1"/>
  <c r="L52" i="6"/>
  <c r="K52" i="6"/>
  <c r="J52" i="6"/>
  <c r="I52" i="6"/>
  <c r="H52" i="6"/>
  <c r="G52" i="6"/>
  <c r="E52" i="6"/>
  <c r="D52" i="6"/>
  <c r="C52" i="6"/>
  <c r="T51" i="6"/>
  <c r="L62" i="6"/>
  <c r="H28" i="8"/>
  <c r="G28" i="8"/>
  <c r="N6" i="7"/>
  <c r="N26" i="7" s="1"/>
  <c r="N30" i="7" s="1"/>
  <c r="L6" i="7"/>
  <c r="L26" i="7" s="1"/>
  <c r="L30" i="7" s="1"/>
  <c r="R15" i="6"/>
  <c r="T15" i="6"/>
  <c r="Q52" i="6" l="1"/>
  <c r="O60" i="6"/>
  <c r="O59" i="6"/>
  <c r="N62" i="6"/>
  <c r="M57" i="6"/>
  <c r="P60" i="6"/>
  <c r="N60" i="6"/>
  <c r="N57" i="6"/>
  <c r="L59" i="6"/>
  <c r="K62" i="6"/>
  <c r="Q60" i="6"/>
  <c r="M58" i="6"/>
  <c r="O57" i="6"/>
  <c r="P62" i="6"/>
  <c r="J62" i="6"/>
  <c r="C56" i="6"/>
  <c r="P57" i="6"/>
  <c r="M62" i="6"/>
  <c r="H58" i="6"/>
  <c r="I58" i="6"/>
  <c r="E58" i="6"/>
  <c r="G58" i="6"/>
  <c r="K58" i="6"/>
  <c r="O62" i="6"/>
  <c r="F58" i="6"/>
  <c r="K59" i="6"/>
  <c r="Q59" i="6"/>
  <c r="N56" i="6"/>
  <c r="C61" i="6"/>
  <c r="O56" i="6"/>
  <c r="D61" i="6"/>
  <c r="P59" i="6"/>
  <c r="E61" i="6"/>
  <c r="C60" i="6"/>
  <c r="D57" i="6"/>
  <c r="F61" i="6"/>
  <c r="E57" i="6"/>
  <c r="G61" i="6"/>
  <c r="D58" i="6"/>
  <c r="H61" i="6"/>
  <c r="Q62" i="6"/>
  <c r="M56" i="6"/>
  <c r="M52" i="6"/>
  <c r="F57" i="6"/>
  <c r="J58" i="6"/>
  <c r="D60" i="6"/>
  <c r="I61" i="6"/>
  <c r="N61" i="6"/>
  <c r="G57" i="6"/>
  <c r="E60" i="6"/>
  <c r="J61" i="6"/>
  <c r="Q57" i="6"/>
  <c r="O61" i="6"/>
  <c r="H57" i="6"/>
  <c r="L58" i="6"/>
  <c r="F60" i="6"/>
  <c r="K61" i="6"/>
  <c r="P61" i="6"/>
  <c r="D56" i="6"/>
  <c r="I57" i="6"/>
  <c r="G60" i="6"/>
  <c r="L61" i="6"/>
  <c r="N58" i="6"/>
  <c r="Q61" i="6"/>
  <c r="E56" i="6"/>
  <c r="J57" i="6"/>
  <c r="C59" i="6"/>
  <c r="H60" i="6"/>
  <c r="C62" i="6"/>
  <c r="O58" i="6"/>
  <c r="K57" i="6"/>
  <c r="D59" i="6"/>
  <c r="I60" i="6"/>
  <c r="D62" i="6"/>
  <c r="P58" i="6"/>
  <c r="G56" i="6"/>
  <c r="L57" i="6"/>
  <c r="E59" i="6"/>
  <c r="J60" i="6"/>
  <c r="E62" i="6"/>
  <c r="Q58" i="6"/>
  <c r="H56" i="6"/>
  <c r="F59" i="6"/>
  <c r="K60" i="6"/>
  <c r="F62" i="6"/>
  <c r="M59" i="6"/>
  <c r="I56" i="6"/>
  <c r="G59" i="6"/>
  <c r="L60" i="6"/>
  <c r="G62" i="6"/>
  <c r="N59" i="6"/>
  <c r="J56" i="6"/>
  <c r="H59" i="6"/>
  <c r="M60" i="6"/>
  <c r="H62" i="6"/>
  <c r="K56" i="6"/>
  <c r="I59" i="6"/>
  <c r="I62" i="6"/>
  <c r="L56" i="6"/>
  <c r="C58" i="6"/>
  <c r="J59" i="6"/>
  <c r="N52" i="6"/>
  <c r="O52" i="6"/>
  <c r="Q56" i="6"/>
  <c r="B17" i="5"/>
  <c r="M61" i="6"/>
  <c r="C11" i="5"/>
  <c r="C18" i="5" s="1"/>
  <c r="D11" i="5"/>
  <c r="E11" i="5"/>
  <c r="F11" i="5"/>
  <c r="G11" i="5"/>
  <c r="S48" i="6"/>
  <c r="S49" i="6"/>
  <c r="S51" i="6"/>
  <c r="B58" i="6"/>
  <c r="B61" i="6"/>
  <c r="S46" i="6"/>
  <c r="B56" i="6"/>
  <c r="D83" i="10"/>
  <c r="D85" i="10" s="1"/>
  <c r="G32" i="10"/>
  <c r="F32" i="10"/>
  <c r="E32" i="10"/>
  <c r="D32" i="10"/>
  <c r="F28" i="8"/>
  <c r="E28" i="8"/>
  <c r="D28" i="8"/>
  <c r="C28" i="8"/>
  <c r="B28" i="8"/>
  <c r="E164" i="10"/>
  <c r="E166" i="10" s="1"/>
  <c r="E156" i="10"/>
  <c r="D95" i="10"/>
  <c r="I28" i="8"/>
  <c r="P6" i="7"/>
  <c r="P26" i="7"/>
  <c r="P30" i="7"/>
  <c r="J6" i="7"/>
  <c r="J26" i="7"/>
  <c r="J30" i="7" s="1"/>
  <c r="H6" i="7"/>
  <c r="H26" i="7" s="1"/>
  <c r="H30" i="7" s="1"/>
  <c r="F6" i="7"/>
  <c r="F26" i="7" s="1"/>
  <c r="F30" i="7" s="1"/>
  <c r="D6" i="7"/>
  <c r="D26" i="7" s="1"/>
  <c r="D30" i="7" s="1"/>
  <c r="B6" i="7"/>
  <c r="B26" i="7"/>
  <c r="B30" i="7" s="1"/>
  <c r="F35" i="6"/>
  <c r="E35" i="6"/>
  <c r="C35" i="6"/>
  <c r="U15" i="6"/>
  <c r="P15" i="6"/>
  <c r="N15" i="6"/>
  <c r="L15" i="6"/>
  <c r="J15" i="6"/>
  <c r="H15" i="6"/>
  <c r="F15" i="6"/>
  <c r="D15" i="6"/>
  <c r="J63" i="6" l="1"/>
  <c r="H63" i="6"/>
  <c r="K63" i="6"/>
  <c r="L63" i="6"/>
  <c r="I63" i="6"/>
  <c r="F91" i="10"/>
  <c r="F92" i="10"/>
  <c r="F93" i="10"/>
  <c r="C12" i="5"/>
  <c r="C13" i="5" s="1"/>
  <c r="E167" i="10"/>
  <c r="G18" i="5"/>
  <c r="G12" i="5"/>
  <c r="G13" i="5" s="1"/>
  <c r="F18" i="5"/>
  <c r="F12" i="5"/>
  <c r="F13" i="5" s="1"/>
  <c r="E18" i="5"/>
  <c r="E12" i="5"/>
  <c r="E13" i="5" s="1"/>
  <c r="D18" i="5"/>
  <c r="D12" i="5"/>
  <c r="D13" i="5" s="1"/>
  <c r="H32" i="10"/>
  <c r="F94" i="10"/>
  <c r="Q63" i="6"/>
  <c r="O63" i="6"/>
  <c r="M63" i="6"/>
  <c r="N63" i="6"/>
  <c r="D63" i="6"/>
  <c r="C63" i="6"/>
  <c r="E63" i="6"/>
  <c r="G63" i="6"/>
  <c r="F90" i="10"/>
  <c r="F89" i="10"/>
  <c r="F95" i="10" l="1"/>
  <c r="F56" i="6"/>
  <c r="F63" i="6" s="1"/>
  <c r="P45" i="6"/>
  <c r="P56" i="6" s="1"/>
  <c r="P63" i="6" s="1"/>
  <c r="P52" i="6" l="1"/>
</calcChain>
</file>

<file path=xl/sharedStrings.xml><?xml version="1.0" encoding="utf-8"?>
<sst xmlns="http://schemas.openxmlformats.org/spreadsheetml/2006/main" count="597" uniqueCount="467">
  <si>
    <t>합계</t>
    <phoneticPr fontId="2" type="noConversion"/>
  </si>
  <si>
    <t>(2)</t>
  </si>
  <si>
    <t>(3)</t>
  </si>
  <si>
    <t>(단위 : 원)</t>
    <phoneticPr fontId="3" type="noConversion"/>
  </si>
  <si>
    <t>구분</t>
    <phoneticPr fontId="3" type="noConversion"/>
  </si>
  <si>
    <t>매출액</t>
    <phoneticPr fontId="3" type="noConversion"/>
  </si>
  <si>
    <t>1. 3년간 매출 실적 및 향후 3년간 매출 추정</t>
    <phoneticPr fontId="3" type="noConversion"/>
  </si>
  <si>
    <t>총매출액</t>
    <phoneticPr fontId="3" type="noConversion"/>
  </si>
  <si>
    <t>내수</t>
    <phoneticPr fontId="3" type="noConversion"/>
  </si>
  <si>
    <t>수출</t>
    <phoneticPr fontId="3" type="noConversion"/>
  </si>
  <si>
    <t>* 검은색 부분은 작성하지 마십시오.</t>
    <phoneticPr fontId="3" type="noConversion"/>
  </si>
  <si>
    <t>2. 수주잔고내역</t>
    <phoneticPr fontId="3" type="noConversion"/>
  </si>
  <si>
    <t>거래처</t>
    <phoneticPr fontId="3" type="noConversion"/>
  </si>
  <si>
    <t>수주액</t>
    <phoneticPr fontId="3" type="noConversion"/>
  </si>
  <si>
    <t>수주기간</t>
    <phoneticPr fontId="3" type="noConversion"/>
  </si>
  <si>
    <t>평가일이전
매출발생액</t>
    <phoneticPr fontId="3" type="noConversion"/>
  </si>
  <si>
    <t>평가일이후
매출발생액</t>
    <phoneticPr fontId="3" type="noConversion"/>
  </si>
  <si>
    <t>합계</t>
    <phoneticPr fontId="3" type="noConversion"/>
  </si>
  <si>
    <t>3. 매출액 추정근거</t>
    <phoneticPr fontId="3" type="noConversion"/>
  </si>
  <si>
    <t>과목</t>
    <phoneticPr fontId="2" type="noConversion"/>
  </si>
  <si>
    <t>비율</t>
    <phoneticPr fontId="2" type="noConversion"/>
  </si>
  <si>
    <t>재료비</t>
    <phoneticPr fontId="3" type="noConversion"/>
  </si>
  <si>
    <t>노무비</t>
    <phoneticPr fontId="3" type="noConversion"/>
  </si>
  <si>
    <t>제조경비</t>
    <phoneticPr fontId="2" type="noConversion"/>
  </si>
  <si>
    <t>당기총제조원가</t>
    <phoneticPr fontId="3" type="noConversion"/>
  </si>
  <si>
    <t>기초재공품재고액</t>
    <phoneticPr fontId="2" type="noConversion"/>
  </si>
  <si>
    <t>기말재공품재고액</t>
    <phoneticPr fontId="2" type="noConversion"/>
  </si>
  <si>
    <t>당기제품제조원가</t>
    <phoneticPr fontId="2" type="noConversion"/>
  </si>
  <si>
    <t>1) 재료비</t>
    <phoneticPr fontId="3" type="noConversion"/>
  </si>
  <si>
    <t>2) 노무비</t>
    <phoneticPr fontId="3" type="noConversion"/>
  </si>
  <si>
    <t>3) 제조경비</t>
    <phoneticPr fontId="3" type="noConversion"/>
  </si>
  <si>
    <t>4) 기말재공품재고액</t>
    <phoneticPr fontId="3" type="noConversion"/>
  </si>
  <si>
    <t>5) 기말재고자산</t>
    <phoneticPr fontId="3" type="noConversion"/>
  </si>
  <si>
    <t>1. 영업외수익</t>
    <phoneticPr fontId="3" type="noConversion"/>
  </si>
  <si>
    <t>1) 이자수익</t>
    <phoneticPr fontId="3" type="noConversion"/>
  </si>
  <si>
    <t>2) 기타영업외수익</t>
    <phoneticPr fontId="3" type="noConversion"/>
  </si>
  <si>
    <t>2. 영업외비용</t>
    <phoneticPr fontId="3" type="noConversion"/>
  </si>
  <si>
    <t>1) 이자비용</t>
    <phoneticPr fontId="3" type="noConversion"/>
  </si>
  <si>
    <t>2) 기타영업외비용</t>
    <phoneticPr fontId="3" type="noConversion"/>
  </si>
  <si>
    <t>3. 영업외수익 추정근거</t>
    <phoneticPr fontId="3" type="noConversion"/>
  </si>
  <si>
    <t>4. 영업외비용 추정근거</t>
    <phoneticPr fontId="3" type="noConversion"/>
  </si>
  <si>
    <t>품목</t>
    <phoneticPr fontId="3" type="noConversion"/>
  </si>
  <si>
    <t>연간</t>
    <phoneticPr fontId="3" type="noConversion"/>
  </si>
  <si>
    <t>수량</t>
    <phoneticPr fontId="3" type="noConversion"/>
  </si>
  <si>
    <t>2. 추정근거</t>
    <phoneticPr fontId="3" type="noConversion"/>
  </si>
  <si>
    <t>3) 매출채권처분손실</t>
    <phoneticPr fontId="2" type="noConversion"/>
  </si>
  <si>
    <t>추정손익계산서</t>
    <phoneticPr fontId="3" type="noConversion"/>
  </si>
  <si>
    <t>(단위 : 원)</t>
    <phoneticPr fontId="3" type="noConversion"/>
  </si>
  <si>
    <t>구분</t>
    <phoneticPr fontId="3" type="noConversion"/>
  </si>
  <si>
    <t>매출액</t>
    <phoneticPr fontId="3" type="noConversion"/>
  </si>
  <si>
    <t>매출원가</t>
    <phoneticPr fontId="3" type="noConversion"/>
  </si>
  <si>
    <t>매출총이익</t>
    <phoneticPr fontId="3" type="noConversion"/>
  </si>
  <si>
    <t>판매비와관리비</t>
    <phoneticPr fontId="3" type="noConversion"/>
  </si>
  <si>
    <t>영업이익</t>
    <phoneticPr fontId="3" type="noConversion"/>
  </si>
  <si>
    <t>영업외수익</t>
    <phoneticPr fontId="3" type="noConversion"/>
  </si>
  <si>
    <t>영업외비용</t>
    <phoneticPr fontId="3" type="noConversion"/>
  </si>
  <si>
    <t>법인세비용차감전순이익</t>
    <phoneticPr fontId="3" type="noConversion"/>
  </si>
  <si>
    <t>법인세비용</t>
    <phoneticPr fontId="3" type="noConversion"/>
  </si>
  <si>
    <t>당기순이익</t>
    <phoneticPr fontId="3" type="noConversion"/>
  </si>
  <si>
    <t>아래 내용들을 작성하여 주시기 바랍니다.</t>
    <phoneticPr fontId="2" type="noConversion"/>
  </si>
  <si>
    <t>항   목</t>
    <phoneticPr fontId="2" type="noConversion"/>
  </si>
  <si>
    <t>대표이사</t>
  </si>
  <si>
    <t>주소(본사)</t>
  </si>
  <si>
    <t>전화번호(본사)</t>
    <phoneticPr fontId="2" type="noConversion"/>
  </si>
  <si>
    <t>팩스번호(본사)</t>
  </si>
  <si>
    <t>홈페이지 주소</t>
  </si>
  <si>
    <t>설립일</t>
  </si>
  <si>
    <t>사업자등록번호(본점)</t>
    <phoneticPr fontId="2" type="noConversion"/>
  </si>
  <si>
    <r>
      <t>임직원수</t>
    </r>
    <r>
      <rPr>
        <sz val="11"/>
        <rFont val="Times New Roman"/>
        <family val="1"/>
      </rPr>
      <t/>
    </r>
    <phoneticPr fontId="2" type="noConversion"/>
  </si>
  <si>
    <t>주요영업활동</t>
  </si>
  <si>
    <t>주요제품</t>
  </si>
  <si>
    <t>외부감사여부</t>
    <phoneticPr fontId="2" type="noConversion"/>
  </si>
  <si>
    <t>감사회계법인</t>
    <phoneticPr fontId="2" type="noConversion"/>
  </si>
  <si>
    <t>감사의견</t>
    <phoneticPr fontId="2" type="noConversion"/>
  </si>
  <si>
    <t>의견제한사유여부</t>
    <phoneticPr fontId="2" type="noConversion"/>
  </si>
  <si>
    <t>내    용</t>
    <phoneticPr fontId="2" type="noConversion"/>
  </si>
  <si>
    <t>주 주 명</t>
    <phoneticPr fontId="2" type="noConversion"/>
  </si>
  <si>
    <t>보유주식수</t>
    <phoneticPr fontId="2" type="noConversion"/>
  </si>
  <si>
    <t>지 분 율(%)</t>
    <phoneticPr fontId="2" type="noConversion"/>
  </si>
  <si>
    <t>비 고</t>
  </si>
  <si>
    <t>종류</t>
    <phoneticPr fontId="2" type="noConversion"/>
  </si>
  <si>
    <t>아래 내용들을 작성하여 주시기 바랍니다.</t>
    <phoneticPr fontId="2" type="noConversion"/>
  </si>
  <si>
    <t xml:space="preserve">1. 상장예상시점 : </t>
    <phoneticPr fontId="2" type="noConversion"/>
  </si>
  <si>
    <t>2. 일반현황</t>
    <phoneticPr fontId="2" type="noConversion"/>
  </si>
  <si>
    <t>구분</t>
    <phoneticPr fontId="2" type="noConversion"/>
  </si>
  <si>
    <t>거래처</t>
    <phoneticPr fontId="2" type="noConversion"/>
  </si>
  <si>
    <t>3개월 이내</t>
    <phoneticPr fontId="2" type="noConversion"/>
  </si>
  <si>
    <t>6개월이내</t>
    <phoneticPr fontId="2" type="noConversion"/>
  </si>
  <si>
    <t>1년 이내</t>
    <phoneticPr fontId="2" type="noConversion"/>
  </si>
  <si>
    <t>1년 이상</t>
    <phoneticPr fontId="2" type="noConversion"/>
  </si>
  <si>
    <t>합계</t>
    <phoneticPr fontId="2" type="noConversion"/>
  </si>
  <si>
    <t>- 옆의 sheet들에 나오는 양식에 맞추어 작성</t>
    <phoneticPr fontId="2" type="noConversion"/>
  </si>
  <si>
    <t>- 손익계산서 추정 및 근거는 자세하게 합리적으로 기재하여 주시기 바랍니다.</t>
    <phoneticPr fontId="2" type="noConversion"/>
  </si>
  <si>
    <t>5. 상장기업 중 회사와 유사한 업체 2곳 이상을 통보하여 주십시요.</t>
    <phoneticPr fontId="2" type="noConversion"/>
  </si>
  <si>
    <t>회사명</t>
    <phoneticPr fontId="2" type="noConversion"/>
  </si>
  <si>
    <t>(1)</t>
    <phoneticPr fontId="2" type="noConversion"/>
  </si>
  <si>
    <t>6. 개발비가 있는 경우 세부내역을 기재하여 주시기 바랍니다.</t>
    <phoneticPr fontId="2" type="noConversion"/>
  </si>
  <si>
    <t>개발과제명</t>
    <phoneticPr fontId="2" type="noConversion"/>
  </si>
  <si>
    <t>개발기간
(시작~종료일)</t>
    <phoneticPr fontId="2" type="noConversion"/>
  </si>
  <si>
    <t>개발비계상금액</t>
    <phoneticPr fontId="2" type="noConversion"/>
  </si>
  <si>
    <t>성공실패여부</t>
    <phoneticPr fontId="2" type="noConversion"/>
  </si>
  <si>
    <t>7. 회사가 신용평가회사로 부터 받은 평가보고서를 실사일 현재 제시하여 주시고, 아래 자료를 작성해 주십시요.</t>
    <phoneticPr fontId="2" type="noConversion"/>
  </si>
  <si>
    <t>신용등급</t>
    <phoneticPr fontId="2" type="noConversion"/>
  </si>
  <si>
    <t>신용평가기관</t>
    <phoneticPr fontId="2" type="noConversion"/>
  </si>
  <si>
    <t>평가일</t>
    <phoneticPr fontId="2" type="noConversion"/>
  </si>
  <si>
    <t>9. 최근 3년간 자본금 변동내역 (병합, 분할, 이익소각 등 포함)</t>
    <phoneticPr fontId="2" type="noConversion"/>
  </si>
  <si>
    <t>변동일자</t>
    <phoneticPr fontId="2" type="noConversion"/>
  </si>
  <si>
    <t>주식수</t>
    <phoneticPr fontId="2" type="noConversion"/>
  </si>
  <si>
    <t>배수</t>
    <phoneticPr fontId="2" type="noConversion"/>
  </si>
  <si>
    <t>변동된 자본금</t>
    <phoneticPr fontId="2" type="noConversion"/>
  </si>
  <si>
    <t>평가일 현재</t>
    <phoneticPr fontId="2" type="noConversion"/>
  </si>
  <si>
    <t xml:space="preserve">합    계 </t>
    <phoneticPr fontId="2" type="noConversion"/>
  </si>
  <si>
    <t>10. 인력구성</t>
    <phoneticPr fontId="2" type="noConversion"/>
  </si>
  <si>
    <t>직위</t>
    <phoneticPr fontId="2" type="noConversion"/>
  </si>
  <si>
    <t>성명</t>
    <phoneticPr fontId="2" type="noConversion"/>
  </si>
  <si>
    <t>생년월일</t>
    <phoneticPr fontId="2" type="noConversion"/>
  </si>
  <si>
    <t>전공 및 최종학위</t>
    <phoneticPr fontId="2" type="noConversion"/>
  </si>
  <si>
    <t xml:space="preserve">주요경력 </t>
    <phoneticPr fontId="2" type="noConversion"/>
  </si>
  <si>
    <t>학 교</t>
    <phoneticPr fontId="2" type="noConversion"/>
  </si>
  <si>
    <t>졸업년도</t>
    <phoneticPr fontId="2" type="noConversion"/>
  </si>
  <si>
    <t>전공</t>
    <phoneticPr fontId="2" type="noConversion"/>
  </si>
  <si>
    <t>학위</t>
    <phoneticPr fontId="2" type="noConversion"/>
  </si>
  <si>
    <t>대표이사</t>
    <phoneticPr fontId="2" type="noConversion"/>
  </si>
  <si>
    <t>이사</t>
    <phoneticPr fontId="2" type="noConversion"/>
  </si>
  <si>
    <t>11. 주요인력</t>
    <phoneticPr fontId="2" type="noConversion"/>
  </si>
  <si>
    <t>담당업무</t>
    <phoneticPr fontId="2" type="noConversion"/>
  </si>
  <si>
    <t>입사일</t>
    <phoneticPr fontId="2" type="noConversion"/>
  </si>
  <si>
    <t>연 봉</t>
    <phoneticPr fontId="2" type="noConversion"/>
  </si>
  <si>
    <t>주 요 경 력</t>
    <phoneticPr fontId="2" type="noConversion"/>
  </si>
  <si>
    <t>12. 관계회사 현황</t>
    <phoneticPr fontId="2" type="noConversion"/>
  </si>
  <si>
    <t>업체명</t>
    <phoneticPr fontId="2" type="noConversion"/>
  </si>
  <si>
    <t>대표자</t>
    <phoneticPr fontId="2" type="noConversion"/>
  </si>
  <si>
    <t>주요제품</t>
    <phoneticPr fontId="2" type="noConversion"/>
  </si>
  <si>
    <t>주소</t>
    <phoneticPr fontId="2" type="noConversion"/>
  </si>
  <si>
    <t>주주현황(%)</t>
    <phoneticPr fontId="2" type="noConversion"/>
  </si>
  <si>
    <t>요약재무제표
(단위:백만원)</t>
    <phoneticPr fontId="2" type="noConversion"/>
  </si>
  <si>
    <t>매출액</t>
    <phoneticPr fontId="2" type="noConversion"/>
  </si>
  <si>
    <t>영업이익</t>
    <phoneticPr fontId="2" type="noConversion"/>
  </si>
  <si>
    <t>당기순이익</t>
    <phoneticPr fontId="2" type="noConversion"/>
  </si>
  <si>
    <t>자산총계</t>
    <phoneticPr fontId="2" type="noConversion"/>
  </si>
  <si>
    <t>자본금</t>
    <phoneticPr fontId="2" type="noConversion"/>
  </si>
  <si>
    <t>자본총계</t>
    <phoneticPr fontId="2" type="noConversion"/>
  </si>
  <si>
    <t>동사와의
내부거래</t>
    <phoneticPr fontId="2" type="noConversion"/>
  </si>
  <si>
    <t>매출</t>
    <phoneticPr fontId="2" type="noConversion"/>
  </si>
  <si>
    <t>매입</t>
    <phoneticPr fontId="2" type="noConversion"/>
  </si>
  <si>
    <t>대여</t>
    <phoneticPr fontId="2" type="noConversion"/>
  </si>
  <si>
    <t>차입</t>
    <phoneticPr fontId="2" type="noConversion"/>
  </si>
  <si>
    <t>기타</t>
    <phoneticPr fontId="2" type="noConversion"/>
  </si>
  <si>
    <t>제공받은 지급보증</t>
    <phoneticPr fontId="2" type="noConversion"/>
  </si>
  <si>
    <t>제공한 지급보증</t>
    <phoneticPr fontId="2" type="noConversion"/>
  </si>
  <si>
    <t>13. 차입금현황</t>
    <phoneticPr fontId="2" type="noConversion"/>
  </si>
  <si>
    <t>(단위 : 원)</t>
    <phoneticPr fontId="2" type="noConversion"/>
  </si>
  <si>
    <t>자 금 명</t>
    <phoneticPr fontId="2" type="noConversion"/>
  </si>
  <si>
    <t>차입기관</t>
    <phoneticPr fontId="2" type="noConversion"/>
  </si>
  <si>
    <t>차입금액</t>
    <phoneticPr fontId="2" type="noConversion"/>
  </si>
  <si>
    <t>차입잔액</t>
    <phoneticPr fontId="2" type="noConversion"/>
  </si>
  <si>
    <t>차입일시</t>
    <phoneticPr fontId="2" type="noConversion"/>
  </si>
  <si>
    <t>상환일시</t>
    <phoneticPr fontId="2" type="noConversion"/>
  </si>
  <si>
    <t>이자율</t>
    <phoneticPr fontId="2" type="noConversion"/>
  </si>
  <si>
    <t>담 보</t>
    <phoneticPr fontId="2" type="noConversion"/>
  </si>
  <si>
    <t>비 고</t>
    <phoneticPr fontId="2" type="noConversion"/>
  </si>
  <si>
    <t>총 차 입 잔 액</t>
    <phoneticPr fontId="2" type="noConversion"/>
  </si>
  <si>
    <t>종류(차입처)</t>
    <phoneticPr fontId="2" type="noConversion"/>
  </si>
  <si>
    <t>종류</t>
    <phoneticPr fontId="2" type="noConversion"/>
  </si>
  <si>
    <t>담보</t>
    <phoneticPr fontId="2" type="noConversion"/>
  </si>
  <si>
    <t>합계</t>
    <phoneticPr fontId="0" type="noConversion"/>
  </si>
  <si>
    <t>단기차입금</t>
    <phoneticPr fontId="2" type="noConversion"/>
  </si>
  <si>
    <t>소계</t>
    <phoneticPr fontId="2" type="noConversion"/>
  </si>
  <si>
    <t>- 자본금 변동내역</t>
    <phoneticPr fontId="2" type="noConversion"/>
  </si>
  <si>
    <t>- 주요 주주현황(방문예정일 현재)</t>
    <phoneticPr fontId="2" type="noConversion"/>
  </si>
  <si>
    <t>비고
(입사동기,고용계약,출자여부,스톡옵션부여 등)</t>
    <phoneticPr fontId="2" type="noConversion"/>
  </si>
  <si>
    <t>1) 산업(업계)전망 및 회사의 성장성</t>
    <phoneticPr fontId="2" type="noConversion"/>
  </si>
  <si>
    <t>2) 현재 진행중인 영업현황</t>
    <phoneticPr fontId="2" type="noConversion"/>
  </si>
  <si>
    <t>매출액 실적 및 추정</t>
    <phoneticPr fontId="3" type="noConversion"/>
  </si>
  <si>
    <t>1. 제조원가명세서</t>
    <phoneticPr fontId="2" type="noConversion"/>
  </si>
  <si>
    <t>판관비 추정</t>
    <phoneticPr fontId="3" type="noConversion"/>
  </si>
  <si>
    <t>1. 회사의 판관비 발생액 및 추정</t>
    <phoneticPr fontId="3" type="noConversion"/>
  </si>
  <si>
    <t>과목</t>
    <phoneticPr fontId="3" type="noConversion"/>
  </si>
  <si>
    <t>합계</t>
    <phoneticPr fontId="3" type="noConversion"/>
  </si>
  <si>
    <t>2. 판관비 추정근거</t>
    <phoneticPr fontId="3" type="noConversion"/>
  </si>
  <si>
    <t>영업외수익 및 비용 추정</t>
    <phoneticPr fontId="3" type="noConversion"/>
  </si>
  <si>
    <t>- 기준일자 : 방문일 현재</t>
    <phoneticPr fontId="2" type="noConversion"/>
  </si>
  <si>
    <t xml:space="preserve">  비용측면에서도, 구성요소별(재료비/노무비/경비/판관비등) 추정치 및 사업부문별 예상비용 등에 대하여, 근거자료를 제시하여 주십시요.</t>
    <phoneticPr fontId="2" type="noConversion"/>
  </si>
  <si>
    <t>비율</t>
  </si>
  <si>
    <t>: 금융거래확인서 첨부요</t>
    <phoneticPr fontId="2" type="noConversion"/>
  </si>
  <si>
    <t>&lt;사업성 분석&gt;</t>
    <phoneticPr fontId="2" type="noConversion"/>
  </si>
  <si>
    <t>현재 등기부등본과 일치</t>
    <phoneticPr fontId="2" type="noConversion"/>
  </si>
  <si>
    <t>2025년 추정</t>
  </si>
  <si>
    <t xml:space="preserve">  매출의 경우 거래처별/품목별 예상치 및 그 예상근거를 과거자료(2018년~2020년)와 함께 제시해 주셔야 하며, </t>
    <phoneticPr fontId="2" type="noConversion"/>
  </si>
  <si>
    <t>Excel 형식</t>
  </si>
  <si>
    <t>우선주/전환사채 등 투자 관련 계약서 (해당사항 있는 경우)</t>
  </si>
  <si>
    <t>NO</t>
    <phoneticPr fontId="2" type="noConversion"/>
  </si>
  <si>
    <t>요청자료</t>
    <phoneticPr fontId="2" type="noConversion"/>
  </si>
  <si>
    <t>파일형식</t>
    <phoneticPr fontId="2" type="noConversion"/>
  </si>
  <si>
    <t>비고</t>
    <phoneticPr fontId="2" type="noConversion"/>
  </si>
  <si>
    <t>자회사(지분 20% 이상) 재무제표</t>
    <phoneticPr fontId="2" type="noConversion"/>
  </si>
  <si>
    <t>법인인감 날인대장</t>
    <phoneticPr fontId="2" type="noConversion"/>
  </si>
  <si>
    <t>주총의사록 및 이사회의사록</t>
    <phoneticPr fontId="2" type="noConversion"/>
  </si>
  <si>
    <t>진행중인 소송사건 관련 자료</t>
    <phoneticPr fontId="2" type="noConversion"/>
  </si>
  <si>
    <t>특수관계자 거래내역 (매입매출, 자금, 채권채무 등)</t>
    <phoneticPr fontId="2" type="noConversion"/>
  </si>
  <si>
    <t>정관, 임원퇴직금지급규정</t>
  </si>
  <si>
    <t>조직도 및 부서별 인원현황(방문일 현재 기준)</t>
  </si>
  <si>
    <t>회사소개자료</t>
  </si>
  <si>
    <t>중진공 사전요청질의서 작성 자료</t>
  </si>
  <si>
    <t>방문전 회신</t>
    <phoneticPr fontId="2" type="noConversion"/>
  </si>
  <si>
    <t>원천징수이행상황신고서(방문일 전월 기준)</t>
    <phoneticPr fontId="2" type="noConversion"/>
  </si>
  <si>
    <t>주주명부(법인인감필), 관계회사 주주명부(날인본) 포함</t>
    <phoneticPr fontId="2" type="noConversion"/>
  </si>
  <si>
    <t>1) 희망 투자배수에 대한 근거</t>
    <phoneticPr fontId="2" type="noConversion"/>
  </si>
  <si>
    <t>3) 추정손익계산서 (옆시트 참조)</t>
    <phoneticPr fontId="2" type="noConversion"/>
  </si>
  <si>
    <t>2) 자료작성 (옆시트 참조)</t>
    <phoneticPr fontId="2" type="noConversion"/>
  </si>
  <si>
    <t>8. 희석주식(주식매입선택권/전환우선주/전환사채 등)이 존재하는 경우 이에 대한 주요 내용</t>
    <phoneticPr fontId="2" type="noConversion"/>
  </si>
  <si>
    <t>2026년 추정</t>
  </si>
  <si>
    <t>2021년 기말</t>
    <phoneticPr fontId="2" type="noConversion"/>
  </si>
  <si>
    <t>: 거래처원장(총괄잔액)</t>
    <phoneticPr fontId="2" type="noConversion"/>
  </si>
  <si>
    <t>2022년</t>
    <phoneticPr fontId="2" type="noConversion"/>
  </si>
  <si>
    <t>2022년 기말</t>
    <phoneticPr fontId="2" type="noConversion"/>
  </si>
  <si>
    <t>22년 재무제표와 일치</t>
    <phoneticPr fontId="2" type="noConversion"/>
  </si>
  <si>
    <t>2022년 실적</t>
  </si>
  <si>
    <t>2027년 추정</t>
  </si>
  <si>
    <t>2027년 추정</t>
    <phoneticPr fontId="3" type="noConversion"/>
  </si>
  <si>
    <t>2022년 실적</t>
    <phoneticPr fontId="3" type="noConversion"/>
  </si>
  <si>
    <t>2023년</t>
  </si>
  <si>
    <t>2023년 기말</t>
  </si>
  <si>
    <t>23년 재무제표와 일치</t>
  </si>
  <si>
    <t>2023년 실적</t>
  </si>
  <si>
    <t>21년 재무제표와 일치</t>
  </si>
  <si>
    <t>2028년 추정</t>
  </si>
  <si>
    <t>2028년 추정</t>
    <phoneticPr fontId="3" type="noConversion"/>
  </si>
  <si>
    <t>2023년 실적</t>
    <phoneticPr fontId="3" type="noConversion"/>
  </si>
  <si>
    <t>2026년 추정</t>
    <phoneticPr fontId="3" type="noConversion"/>
  </si>
  <si>
    <t>(단위: 개, 백만원)</t>
    <phoneticPr fontId="34" type="noConversion"/>
  </si>
  <si>
    <t>국내 판매량</t>
    <phoneticPr fontId="34" type="noConversion"/>
  </si>
  <si>
    <t>해외 판매량</t>
    <phoneticPr fontId="34" type="noConversion"/>
  </si>
  <si>
    <t>총 판매량</t>
    <phoneticPr fontId="34" type="noConversion"/>
  </si>
  <si>
    <t>■ 단가</t>
    <phoneticPr fontId="34" type="noConversion"/>
  </si>
  <si>
    <t>(단위: 백만원)</t>
    <phoneticPr fontId="34" type="noConversion"/>
  </si>
  <si>
    <t>국내</t>
    <phoneticPr fontId="34" type="noConversion"/>
  </si>
  <si>
    <t>해외</t>
    <phoneticPr fontId="34" type="noConversion"/>
  </si>
  <si>
    <t>계</t>
    <phoneticPr fontId="34" type="noConversion"/>
  </si>
  <si>
    <t>국내 매출</t>
    <phoneticPr fontId="34" type="noConversion"/>
  </si>
  <si>
    <t>해외매출</t>
    <phoneticPr fontId="34" type="noConversion"/>
  </si>
  <si>
    <t>총 매출</t>
    <phoneticPr fontId="34" type="noConversion"/>
  </si>
  <si>
    <r>
      <t>(단위</t>
    </r>
    <r>
      <rPr>
        <sz val="10"/>
        <rFont val="맑은 고딕"/>
        <family val="3"/>
        <charset val="129"/>
      </rPr>
      <t>: 원)</t>
    </r>
    <phoneticPr fontId="3" type="noConversion"/>
  </si>
  <si>
    <r>
      <t xml:space="preserve">수주잔고 중
평가일 이후
</t>
    </r>
    <r>
      <rPr>
        <b/>
        <sz val="10"/>
        <rFont val="맑은 고딕"/>
        <family val="3"/>
        <charset val="129"/>
      </rPr>
      <t>매출발생액</t>
    </r>
    <phoneticPr fontId="3" type="noConversion"/>
  </si>
  <si>
    <r>
      <t>(단위</t>
    </r>
    <r>
      <rPr>
        <sz val="10"/>
        <rFont val="맑은 고딕"/>
        <family val="3"/>
        <charset val="129"/>
      </rPr>
      <t>:원)</t>
    </r>
    <phoneticPr fontId="3" type="noConversion"/>
  </si>
  <si>
    <t>* 노란부분의 값은 1번 표의 "수주잔고 중 향후 매출발생액"의 합계와 동일</t>
    <phoneticPr fontId="3" type="noConversion"/>
  </si>
  <si>
    <t>2029년 추정</t>
  </si>
  <si>
    <t>2029년 추정</t>
    <phoneticPr fontId="3" type="noConversion"/>
  </si>
  <si>
    <r>
      <t>2</t>
    </r>
    <r>
      <rPr>
        <b/>
        <sz val="10"/>
        <rFont val="맑은 고딕"/>
        <family val="3"/>
        <charset val="129"/>
      </rPr>
      <t>025년  실적 및 추정</t>
    </r>
    <phoneticPr fontId="3" type="noConversion"/>
  </si>
  <si>
    <t>2025년 상반기</t>
    <phoneticPr fontId="3" type="noConversion"/>
  </si>
  <si>
    <t>2024년 실적</t>
  </si>
  <si>
    <t>2024년 실적</t>
    <phoneticPr fontId="3" type="noConversion"/>
  </si>
  <si>
    <t>2029</t>
    <phoneticPr fontId="2" type="noConversion"/>
  </si>
  <si>
    <t>2029년 추정</t>
    <phoneticPr fontId="2" type="noConversion"/>
  </si>
  <si>
    <t>2024년 실적</t>
    <phoneticPr fontId="2" type="noConversion"/>
  </si>
  <si>
    <t>3. 매출채권 연령분석표 ('24년말 기준)</t>
    <phoneticPr fontId="2" type="noConversion"/>
  </si>
  <si>
    <t>4. 추정손익계산서 및 추정근거(2025년~2029년)</t>
    <phoneticPr fontId="2" type="noConversion"/>
  </si>
  <si>
    <t>24년말 재무상태표 매출채권과 일치</t>
    <phoneticPr fontId="2" type="noConversion"/>
  </si>
  <si>
    <t>2024년</t>
    <phoneticPr fontId="2" type="noConversion"/>
  </si>
  <si>
    <t>2024년 기말</t>
    <phoneticPr fontId="2" type="noConversion"/>
  </si>
  <si>
    <t>2021년 기초</t>
    <phoneticPr fontId="2" type="noConversion"/>
  </si>
  <si>
    <t>24년 재무제표와 일치</t>
    <phoneticPr fontId="2" type="noConversion"/>
  </si>
  <si>
    <t>- 기준일자 : 2024년 12월말 현재</t>
    <phoneticPr fontId="2" type="noConversion"/>
  </si>
  <si>
    <t>: 2024년말 재무제표와 일치</t>
    <phoneticPr fontId="2" type="noConversion"/>
  </si>
  <si>
    <t>2024년 및 2025년 매입매출장</t>
  </si>
  <si>
    <t>2024년 재고자산수불부(기초 입고 출고 기말 수량) 및 재고자산평가관련 자료</t>
  </si>
  <si>
    <t>2024.12.1~방문일 현재 통장거래내역</t>
  </si>
  <si>
    <t>2023년, 2024년 감사보고서 및 세무조정계산서</t>
  </si>
  <si>
    <t>2023년 및 2024년 결산부속명세서</t>
  </si>
  <si>
    <t>2023년 및 2024년 계정별원장</t>
  </si>
  <si>
    <t>2023년 및 2024년 감가상각명세서</t>
  </si>
  <si>
    <t>2023년 및 2024년, 2025년 1월부터 방문일 현재까지 급여대장</t>
  </si>
  <si>
    <t>2023년 및 2024년 퇴직금추계액</t>
  </si>
  <si>
    <t>2022년, 2023년, 2024년 재무제표 (재무상태표, 손익계산서, 제조원가명세서)</t>
    <phoneticPr fontId="2" type="noConversion"/>
  </si>
  <si>
    <t>2023년 및 2024년 자산/부채항목 거래처원장(잔액) : 거래처별 기초 증가 감소 기말 형식</t>
    <phoneticPr fontId="2" type="noConversion"/>
  </si>
  <si>
    <t>2024년 및 2025년 부가세신고서 및 부가세표준증명원</t>
    <phoneticPr fontId="2" type="noConversion"/>
  </si>
  <si>
    <t>자금일보(방문일 전일자) 또는 현재 보유시재 정리내역</t>
    <phoneticPr fontId="2" type="noConversion"/>
  </si>
  <si>
    <t>법인 등기부등본(말소사항포함), 사업자등록증(사업장별)</t>
    <phoneticPr fontId="2" type="noConversion"/>
  </si>
  <si>
    <t>영업이익률</t>
    <phoneticPr fontId="2" type="noConversion"/>
  </si>
  <si>
    <t>순이익률</t>
    <phoneticPr fontId="2" type="noConversion"/>
  </si>
  <si>
    <t>매출액 성장률</t>
    <phoneticPr fontId="2" type="noConversion"/>
  </si>
  <si>
    <t># 25년 매출장 확인 및 회신</t>
    <phoneticPr fontId="2" type="noConversion"/>
  </si>
  <si>
    <t>2028년 3월</t>
    <phoneticPr fontId="2" type="noConversion"/>
  </si>
  <si>
    <t>김정환</t>
    <phoneticPr fontId="2" type="noConversion"/>
  </si>
  <si>
    <t>세종특별자치시 조치원읍 세종로 2639, 산학협력관 U동 401호(홍익대학교 세종캠퍼스)</t>
    <phoneticPr fontId="2" type="noConversion"/>
  </si>
  <si>
    <t>070-4131-0730</t>
    <phoneticPr fontId="2" type="noConversion"/>
  </si>
  <si>
    <t>-</t>
    <phoneticPr fontId="2" type="noConversion"/>
  </si>
  <si>
    <t>WWW.ZAEMIT.COM</t>
    <phoneticPr fontId="2" type="noConversion"/>
  </si>
  <si>
    <t>2022.07.29</t>
    <phoneticPr fontId="2" type="noConversion"/>
  </si>
  <si>
    <t>589-81-02761</t>
    <phoneticPr fontId="2" type="noConversion"/>
  </si>
  <si>
    <t>ZAEMIT, Z.STUDIO</t>
    <phoneticPr fontId="2" type="noConversion"/>
  </si>
  <si>
    <t>부</t>
    <phoneticPr fontId="2" type="noConversion"/>
  </si>
  <si>
    <t>해당없음</t>
    <phoneticPr fontId="2" type="noConversion"/>
  </si>
  <si>
    <t>15명</t>
    <phoneticPr fontId="2" type="noConversion"/>
  </si>
  <si>
    <t>AI 기반 웹사이트 자동 생성 SaaS 플랫폼 제공 및 기업·기관 대상 웹/모바일 서비스 구축·운영</t>
    <phoneticPr fontId="2" type="noConversion"/>
  </si>
  <si>
    <t>B0</t>
    <phoneticPr fontId="2" type="noConversion"/>
  </si>
  <si>
    <t>주식회사나이스디앤비</t>
    <phoneticPr fontId="2" type="noConversion"/>
  </si>
  <si>
    <t>2025.06.27</t>
    <phoneticPr fontId="2" type="noConversion"/>
  </si>
  <si>
    <t>O</t>
    <phoneticPr fontId="2" type="noConversion"/>
  </si>
  <si>
    <t>최신본확인필요</t>
    <phoneticPr fontId="2" type="noConversion"/>
  </si>
  <si>
    <t>22.12.07</t>
    <phoneticPr fontId="2" type="noConversion"/>
  </si>
  <si>
    <t>23.11.28</t>
    <phoneticPr fontId="2" type="noConversion"/>
  </si>
  <si>
    <t>24.03.26</t>
    <phoneticPr fontId="2" type="noConversion"/>
  </si>
  <si>
    <t>25.04.30</t>
    <phoneticPr fontId="2" type="noConversion"/>
  </si>
  <si>
    <t>25.11.28</t>
    <phoneticPr fontId="2" type="noConversion"/>
  </si>
  <si>
    <t>26.04.28</t>
    <phoneticPr fontId="2" type="noConversion"/>
  </si>
  <si>
    <t>IBK혁신창업대출</t>
    <phoneticPr fontId="2" type="noConversion"/>
  </si>
  <si>
    <t>IBK성공창업대출</t>
    <phoneticPr fontId="2" type="noConversion"/>
  </si>
  <si>
    <t>문화콘텐츠기업 협약대출</t>
    <phoneticPr fontId="2" type="noConversion"/>
  </si>
  <si>
    <t>IBK기업은행</t>
  </si>
  <si>
    <t>카페24</t>
    <phoneticPr fontId="2" type="noConversion"/>
  </si>
  <si>
    <t>고려대학교</t>
    <phoneticPr fontId="2" type="noConversion"/>
  </si>
  <si>
    <t>- 고려대학교 경영학박사
- [논문] AI 관련 논문 등 국내 저널 7편 (주저자) 
- 각종 창업가 멘토 활동 100회 이상 수행
- 전) (주)케이브레인컴퍼니 CTO, R&amp;D 본부장
- 전) 블루스트림 대표이사 9년 역임</t>
    <phoneticPr fontId="2" type="noConversion"/>
  </si>
  <si>
    <t>- 전) 주식회사 그레이블루 공동대표
- 2000년대 삼성, LG 대표 웹사이트 디자인
- 519만 팔로우 유튜버 ‘쿠킹트리’ 디렉터
- 한국1호 ICO 보스코인 디자인 총괄
- 다양한 브랜드 디자인 경험 경력 25년</t>
    <phoneticPr fontId="2" type="noConversion"/>
  </si>
  <si>
    <t>이효남</t>
    <phoneticPr fontId="2" type="noConversion"/>
  </si>
  <si>
    <t>상무이사</t>
    <phoneticPr fontId="2" type="noConversion"/>
  </si>
  <si>
    <t>영등포고등학교</t>
    <phoneticPr fontId="2" type="noConversion"/>
  </si>
  <si>
    <t>박사</t>
    <phoneticPr fontId="2" type="noConversion"/>
  </si>
  <si>
    <t>E-비지니스</t>
    <phoneticPr fontId="2" type="noConversion"/>
  </si>
  <si>
    <t>팀장</t>
    <phoneticPr fontId="2" type="noConversion"/>
  </si>
  <si>
    <t>과장</t>
    <phoneticPr fontId="2" type="noConversion"/>
  </si>
  <si>
    <t>대리</t>
    <phoneticPr fontId="2" type="noConversion"/>
  </si>
  <si>
    <t>주임</t>
    <phoneticPr fontId="2" type="noConversion"/>
  </si>
  <si>
    <t>조재원</t>
  </si>
  <si>
    <t>조재웅</t>
  </si>
  <si>
    <t>이서혁</t>
  </si>
  <si>
    <t>한세호</t>
  </si>
  <si>
    <t>정다은</t>
  </si>
  <si>
    <t>한정동</t>
    <phoneticPr fontId="2" type="noConversion"/>
  </si>
  <si>
    <t>- 팀햇(’10년~’11년)
- ㈜XPRIME SI, 게임본부(’11년~’13년)
- 블루스트림(’15년~’17년)
- ㈜이꼬르(’17년~’24년)
- ㈜위븐(’24년~현재)</t>
    <phoneticPr fontId="2" type="noConversion"/>
  </si>
  <si>
    <t>개발 총괄</t>
    <phoneticPr fontId="2" type="noConversion"/>
  </si>
  <si>
    <t>기획 및 PM</t>
    <phoneticPr fontId="2" type="noConversion"/>
  </si>
  <si>
    <t>AI R&amp;D</t>
    <phoneticPr fontId="2" type="noConversion"/>
  </si>
  <si>
    <t>AI 책임연구원</t>
    <phoneticPr fontId="2" type="noConversion"/>
  </si>
  <si>
    <t>최용석</t>
    <phoneticPr fontId="2" type="noConversion"/>
  </si>
  <si>
    <t>UX/UI 디자인</t>
    <phoneticPr fontId="2" type="noConversion"/>
  </si>
  <si>
    <t>- ㈜위븐(’22년~현재)
- 한국외대 영어통번역 학사
- 카투사, 일어 중상급</t>
    <phoneticPr fontId="2" type="noConversion"/>
  </si>
  <si>
    <t>- 블루스트림(’13년~’21년)
- 스토리뱅크(’21년~’22년)
- ㈜위븐(’22년~현재)
- 개발 경력 15년</t>
    <phoneticPr fontId="2" type="noConversion"/>
  </si>
  <si>
    <t>- 블루스트림(’14년~’21년)
- 스토리뱅크(’21년~’22년)
- ㈜위븐(’22년~현재)
- 기획 경력 14년</t>
    <phoneticPr fontId="2" type="noConversion"/>
  </si>
  <si>
    <t>프론트엔드 개발</t>
    <phoneticPr fontId="2" type="noConversion"/>
  </si>
  <si>
    <t>- ㈜위븐(’23년~현재)
- 개발 3년차</t>
    <phoneticPr fontId="2" type="noConversion"/>
  </si>
  <si>
    <t>위진희</t>
    <phoneticPr fontId="2" type="noConversion"/>
  </si>
  <si>
    <t>기획 서버리더</t>
    <phoneticPr fontId="2" type="noConversion"/>
  </si>
  <si>
    <t>- ㈜위븐(’23년~현재)
- 야놀자 CS 파트장
- 디자인 경력 4년</t>
    <phoneticPr fontId="2" type="noConversion"/>
  </si>
  <si>
    <t>- 뉴로닉(’19년~’20년)
- 칸파(’20년~’23년)
- ㈜위븐(’23년~현재)
- AI 관련 논문 게재 3건
- 의화학 학사, 인공지능 저서 출간</t>
    <phoneticPr fontId="2" type="noConversion"/>
  </si>
  <si>
    <t>- ㈜디케이엠(’18년~’20년)
- 주식회사 예안(’21년)
- 주식회사 링크블루(’22년~’24년)
- ㈜위븐(’24년~현재)
- 디자인 경력 7년차</t>
    <phoneticPr fontId="2" type="noConversion"/>
  </si>
  <si>
    <t>사원</t>
    <phoneticPr fontId="2" type="noConversion"/>
  </si>
  <si>
    <t>박지현</t>
    <phoneticPr fontId="2" type="noConversion"/>
  </si>
  <si>
    <t>백엔드 개발</t>
    <phoneticPr fontId="2" type="noConversion"/>
  </si>
  <si>
    <t>김이준</t>
    <phoneticPr fontId="2" type="noConversion"/>
  </si>
  <si>
    <t>- ㈜위븐(’23년~현재)
- 개발 2년차</t>
    <phoneticPr fontId="2" type="noConversion"/>
  </si>
  <si>
    <t>- ㈜위븐(’23년~현재)
- 디자인 1년차</t>
    <phoneticPr fontId="2" type="noConversion"/>
  </si>
  <si>
    <t>해외영업</t>
    <phoneticPr fontId="2" type="noConversion"/>
  </si>
  <si>
    <t>2024.11.04</t>
    <phoneticPr fontId="2" type="noConversion"/>
  </si>
  <si>
    <t>2022.10.01</t>
    <phoneticPr fontId="2" type="noConversion"/>
  </si>
  <si>
    <t>2024.05.02</t>
    <phoneticPr fontId="2" type="noConversion"/>
  </si>
  <si>
    <t>2024.05.01</t>
    <phoneticPr fontId="2" type="noConversion"/>
  </si>
  <si>
    <t>2022.09.21</t>
    <phoneticPr fontId="2" type="noConversion"/>
  </si>
  <si>
    <t>2023.06.01</t>
    <phoneticPr fontId="2" type="noConversion"/>
  </si>
  <si>
    <t>2024.11.25</t>
    <phoneticPr fontId="2" type="noConversion"/>
  </si>
  <si>
    <t>2025.05.01</t>
    <phoneticPr fontId="2" type="noConversion"/>
  </si>
  <si>
    <t>- 입사동기: AI 기반 웹·앱 자동생성 플랫폼 고도화(아키텍처·보안·협업기능) 리드 
- 고용계약: 정규직</t>
    <phoneticPr fontId="2" type="noConversion"/>
  </si>
  <si>
    <t>- 입사동기: 자체 AI 모델 고도화 및 R&amp;D 로드맵 구축
- 고용계약: 정규직</t>
    <phoneticPr fontId="2" type="noConversion"/>
  </si>
  <si>
    <t>- 입사동기: 제품 기획·PM 총괄로 서비스 고도화 및 PoC 추진 
- 고용계약: 정규직</t>
    <phoneticPr fontId="2" type="noConversion"/>
  </si>
  <si>
    <t>- 입사동기: 멀티모달·시큐어코딩 자동점검 등 AI 핵심 연구 수행 
- 고용계약: 정규직</t>
    <phoneticPr fontId="2" type="noConversion"/>
  </si>
  <si>
    <t>- 입사동기: 에디터 UI/디자인 시스템 고도화 및 사용자경험 개선 
- 고용계약: 정규직</t>
    <phoneticPr fontId="2" type="noConversion"/>
  </si>
  <si>
    <t>- 입사동기: 일본·인도 등 글로벌 시장 개척 및 파트너십 확장 
- 고용계약: 정규직</t>
    <phoneticPr fontId="2" type="noConversion"/>
  </si>
  <si>
    <t>- 입사동기: 프로덕트 기획/정책 수립 및 운영 체계화 
- 고용계약: 정규직</t>
    <phoneticPr fontId="2" type="noConversion"/>
  </si>
  <si>
    <t>- 입사동기: Z.Editor·협업 기능 프런트엔드 개발 및 품질 고도화 
- 고용계약: 정규직</t>
    <phoneticPr fontId="2" type="noConversion"/>
  </si>
  <si>
    <t>- 입사동기: 멀티테넌시·보안 모듈 중심 백엔드 개발 참여
- 고용계약: 정규직</t>
    <phoneticPr fontId="2" type="noConversion"/>
  </si>
  <si>
    <t>- 입사동기: 템플릿·디자인 시스템 제작으로 브랜드 일관성 강화
- 고용계약: 정규직</t>
    <phoneticPr fontId="2" type="noConversion"/>
  </si>
  <si>
    <t>민상일</t>
    <phoneticPr fontId="2" type="noConversion"/>
  </si>
  <si>
    <t>김명구</t>
    <phoneticPr fontId="2" type="noConversion"/>
  </si>
  <si>
    <t>세종한누리개인투자조합1호</t>
    <phoneticPr fontId="2" type="noConversion"/>
  </si>
  <si>
    <t>인포뱅크-대구창조경제혁신센터 개인투자조합1호</t>
    <phoneticPr fontId="2" type="noConversion"/>
  </si>
  <si>
    <t>창업기업구성원</t>
    <phoneticPr fontId="2" type="noConversion"/>
  </si>
  <si>
    <t>운영사</t>
    <phoneticPr fontId="2" type="noConversion"/>
  </si>
  <si>
    <t>2022.12.31</t>
    <phoneticPr fontId="2" type="noConversion"/>
  </si>
  <si>
    <t>2023.12.31</t>
    <phoneticPr fontId="2" type="noConversion"/>
  </si>
  <si>
    <t>2024.12.31</t>
    <phoneticPr fontId="2" type="noConversion"/>
  </si>
  <si>
    <t>2025.07.31</t>
    <phoneticPr fontId="2" type="noConversion"/>
  </si>
  <si>
    <t>유상증자(보통주 4,737+RCPS 1,184)</t>
    <phoneticPr fontId="2" type="noConversion"/>
  </si>
  <si>
    <t>코리아센터</t>
    <phoneticPr fontId="2" type="noConversion"/>
  </si>
  <si>
    <t>가비아</t>
    <phoneticPr fontId="2" type="noConversion"/>
  </si>
  <si>
    <t>전액보증</t>
    <phoneticPr fontId="2" type="noConversion"/>
  </si>
  <si>
    <t>IBK 혁신창업대출</t>
    <phoneticPr fontId="2" type="noConversion"/>
  </si>
  <si>
    <t>주주, 임원, 직원 차입</t>
    <phoneticPr fontId="2" type="noConversion"/>
  </si>
  <si>
    <t>만기일시상환</t>
    <phoneticPr fontId="2" type="noConversion"/>
  </si>
  <si>
    <t>단기</t>
    <phoneticPr fontId="2" type="noConversion"/>
  </si>
  <si>
    <t>장기차입금 : 해당없음</t>
    <phoneticPr fontId="2" type="noConversion"/>
  </si>
  <si>
    <t>유동성대체 : 해당없음</t>
    <phoneticPr fontId="2" type="noConversion"/>
  </si>
  <si>
    <t>기말장기차입금 : 해당없음</t>
    <phoneticPr fontId="2" type="noConversion"/>
  </si>
  <si>
    <t>연대보증</t>
    <phoneticPr fontId="2" type="noConversion"/>
  </si>
  <si>
    <t>70%보증</t>
    <phoneticPr fontId="2" type="noConversion"/>
  </si>
  <si>
    <t>급여</t>
    <phoneticPr fontId="2" type="noConversion"/>
  </si>
  <si>
    <t>보험료</t>
    <phoneticPr fontId="2" type="noConversion"/>
  </si>
  <si>
    <t>복리후생비</t>
    <phoneticPr fontId="2" type="noConversion"/>
  </si>
  <si>
    <t>여비교통비</t>
    <phoneticPr fontId="2" type="noConversion"/>
  </si>
  <si>
    <t>임차료</t>
    <phoneticPr fontId="2" type="noConversion"/>
  </si>
  <si>
    <t>기업업무추진비</t>
    <phoneticPr fontId="2" type="noConversion"/>
  </si>
  <si>
    <t>세금과공과</t>
    <phoneticPr fontId="2" type="noConversion"/>
  </si>
  <si>
    <t>광고선전비</t>
    <phoneticPr fontId="2" type="noConversion"/>
  </si>
  <si>
    <t>경상개발비</t>
    <phoneticPr fontId="2" type="noConversion"/>
  </si>
  <si>
    <t>지급수수료</t>
    <phoneticPr fontId="2" type="noConversion"/>
  </si>
  <si>
    <t>소모품비</t>
    <phoneticPr fontId="2" type="noConversion"/>
  </si>
  <si>
    <t>통신비</t>
    <phoneticPr fontId="2" type="noConversion"/>
  </si>
  <si>
    <t>건물시설관리비</t>
    <phoneticPr fontId="2" type="noConversion"/>
  </si>
  <si>
    <t>수선비</t>
    <phoneticPr fontId="2" type="noConversion"/>
  </si>
  <si>
    <t>수도광열비</t>
    <phoneticPr fontId="2" type="noConversion"/>
  </si>
  <si>
    <t>전기료</t>
    <phoneticPr fontId="2" type="noConversion"/>
  </si>
  <si>
    <t>인쇄비</t>
    <phoneticPr fontId="2" type="noConversion"/>
  </si>
  <si>
    <t>접대비</t>
    <phoneticPr fontId="2" type="noConversion"/>
  </si>
  <si>
    <t>유형자산감가상각비</t>
    <phoneticPr fontId="2" type="noConversion"/>
  </si>
  <si>
    <t>퇴직급여</t>
    <phoneticPr fontId="2" type="noConversion"/>
  </si>
  <si>
    <t>교육훈련비</t>
    <phoneticPr fontId="2" type="noConversion"/>
  </si>
  <si>
    <t>주식회사 복지유니온</t>
    <phoneticPr fontId="2" type="noConversion"/>
  </si>
  <si>
    <t>유씨아이테크 주식회사</t>
    <phoneticPr fontId="2" type="noConversion"/>
  </si>
  <si>
    <t>주식회사 샤인디자인</t>
    <phoneticPr fontId="2" type="noConversion"/>
  </si>
  <si>
    <t>꿈선생</t>
    <phoneticPr fontId="2" type="noConversion"/>
  </si>
  <si>
    <t>한국스타트업피봇팅협회</t>
    <phoneticPr fontId="2" type="noConversion"/>
  </si>
  <si>
    <t>로웨인</t>
    <phoneticPr fontId="2" type="noConversion"/>
  </si>
  <si>
    <t>비전이노베이션</t>
    <phoneticPr fontId="2" type="noConversion"/>
  </si>
  <si>
    <t>25.10</t>
    <phoneticPr fontId="2" type="noConversion"/>
  </si>
  <si>
    <t>티치갭</t>
    <phoneticPr fontId="2" type="noConversion"/>
  </si>
  <si>
    <t>농정원</t>
    <phoneticPr fontId="2" type="noConversion"/>
  </si>
  <si>
    <t>25.12</t>
    <phoneticPr fontId="2" type="noConversion"/>
  </si>
  <si>
    <t>25.09</t>
    <phoneticPr fontId="2" type="noConversion"/>
  </si>
  <si>
    <t>스케일업팁스</t>
    <phoneticPr fontId="2" type="noConversion"/>
  </si>
  <si>
    <t>한국MICE협회</t>
    <phoneticPr fontId="2" type="noConversion"/>
  </si>
  <si>
    <t>27.06</t>
    <phoneticPr fontId="2" type="noConversion"/>
  </si>
  <si>
    <t>소진공</t>
    <phoneticPr fontId="2" type="noConversion"/>
  </si>
  <si>
    <t>아뜰리에파인</t>
    <phoneticPr fontId="2" type="noConversion"/>
  </si>
  <si>
    <r>
      <rPr>
        <b/>
        <sz val="11"/>
        <color rgb="FF0070C0"/>
        <rFont val="맑은 고딕"/>
        <family val="3"/>
        <charset val="129"/>
        <scheme val="minor"/>
      </rPr>
      <t>매출원가 부재</t>
    </r>
    <r>
      <rPr>
        <sz val="11"/>
        <color rgb="FF0070C0"/>
        <rFont val="맑은 고딕"/>
        <family val="3"/>
        <charset val="129"/>
        <scheme val="minor"/>
      </rPr>
      <t xml:space="preserve">
당사의 서비스는 SaaS 구조상 직접적인 매출원가 계정이 존재하지 않습니다.
서버비용·개발비용·외주용역비 등은 모두 판매비와관리비로 처리하고 있으며, 이는 과거 3개년 표준재무제표증명에서도 일관되게 매출원가 0원으로 반영되었습니다.
따라서 추정 손익계산서에서도 매출원가는 0원으로 유지하였습니다.
</t>
    </r>
    <r>
      <rPr>
        <b/>
        <sz val="11"/>
        <color rgb="FF0070C0"/>
        <rFont val="맑은 고딕"/>
        <family val="3"/>
        <charset val="129"/>
        <scheme val="minor"/>
      </rPr>
      <t>판매비와관리비 추정 근거</t>
    </r>
    <r>
      <rPr>
        <sz val="11"/>
        <color rgb="FF0070C0"/>
        <rFont val="맑은 고딕"/>
        <family val="3"/>
        <charset val="129"/>
        <scheme val="minor"/>
      </rPr>
      <t xml:space="preserve">
2024년에는 인건비·R&amp;D·마케팅 투자 확대로 매출 대비 140% 수준의 판관비가 발생하였으나,
매출 증가에 따라 비중이 점차 축소되어 2029년에는 매출 대비 약 20% 수준으로 안정화될 것으로 추정하였습니다.
이는 인력 확충 후 규모의 경제가 발생하고, 마케팅 효율이 개선될 것이라는 전제에 기반하고 있습니다.
</t>
    </r>
    <r>
      <rPr>
        <b/>
        <sz val="11"/>
        <color rgb="FF0070C0"/>
        <rFont val="맑은 고딕"/>
        <family val="3"/>
        <charset val="129"/>
        <scheme val="minor"/>
      </rPr>
      <t>영업외수익 추정 근거</t>
    </r>
    <r>
      <rPr>
        <sz val="11"/>
        <color rgb="FF0070C0"/>
        <rFont val="맑은 고딕"/>
        <family val="3"/>
        <charset val="129"/>
        <scheme val="minor"/>
      </rPr>
      <t xml:space="preserve">
2024년에는 정부지원금 및 이자수익이 집중되어 높은 비중을 차지하였고,
2025년 이후에는 보수적으로 매출의 5% 내외만 반영하였습니다.
이는 반복성이 높은 항목(이자수익, 일부 정부지원금)만 반영한 보수적인 추정치입니다.
</t>
    </r>
    <r>
      <rPr>
        <b/>
        <sz val="11"/>
        <color rgb="FF0070C0"/>
        <rFont val="맑은 고딕"/>
        <family val="3"/>
        <charset val="129"/>
        <scheme val="minor"/>
      </rPr>
      <t>영업외비용 추정 근거</t>
    </r>
    <r>
      <rPr>
        <sz val="11"/>
        <color rgb="FF0070C0"/>
        <rFont val="맑은 고딕"/>
        <family val="3"/>
        <charset val="129"/>
        <scheme val="minor"/>
      </rPr>
      <t xml:space="preserve">
당사는 약 6.3억 원의 금융권 차입금이 있으며,
이에 따른 이자비용을 평균금리 3~4% 수준으로 계산하여 연간 영업외비용에 반영하였습니다.
추가 차입이 없다는 전제를 두고, 안정적인 수준에서 비용을 유지하는 것으로 추정하였습니다.
</t>
    </r>
    <r>
      <rPr>
        <b/>
        <sz val="11"/>
        <color rgb="FF0070C0"/>
        <rFont val="맑은 고딕"/>
        <family val="3"/>
        <charset val="129"/>
        <scheme val="minor"/>
      </rPr>
      <t>손익 구조 변화</t>
    </r>
    <r>
      <rPr>
        <sz val="11"/>
        <color rgb="FF0070C0"/>
        <rFont val="맑은 고딕"/>
        <family val="3"/>
        <charset val="129"/>
        <scheme val="minor"/>
      </rPr>
      <t xml:space="preserve">
2024년까지는 적자 구조이나, 매출 증가와 판관비 비중 축소로 인해 2026년부터 영업이익이 흑자 전환될 것으로 전망됩니다.
이후 2029년까지는 매출 성장과 함께 영업이익률이 20% 이상으로 개선될 것으로 기대하고 있습니다.</t>
    </r>
    <phoneticPr fontId="2" type="noConversion"/>
  </si>
  <si>
    <r>
      <rPr>
        <b/>
        <sz val="11"/>
        <color rgb="FF0070C0"/>
        <rFont val="맑은 고딕"/>
        <family val="3"/>
        <charset val="129"/>
      </rPr>
      <t>이자비용</t>
    </r>
    <r>
      <rPr>
        <sz val="11"/>
        <color rgb="FF0070C0"/>
        <rFont val="맑은 고딕"/>
        <family val="3"/>
        <charset val="129"/>
      </rPr>
      <t xml:space="preserve">
 - 2023년 13.3백만 원에서 2024년 27.1백만 원으로 증가했습니다. 이는 정책자금 및 금융권 차입 확대로 인한 결과
 - 2025년부터는 원금 상환 개시 및 금리 안정화를 고려해 ’24년 실적 대비 보수적으로 약 24백만 원 수준으로 산정
 - 이후 매년 약 10%씩 감소하는 경로를 반영하여, 차입금 축소와 레버리지 효율화를 수치로 표현
</t>
    </r>
    <r>
      <rPr>
        <b/>
        <sz val="11"/>
        <color rgb="FF0070C0"/>
        <rFont val="맑은 고딕"/>
        <family val="3"/>
        <charset val="129"/>
      </rPr>
      <t>기타영업외비용</t>
    </r>
    <r>
      <rPr>
        <sz val="11"/>
        <color rgb="FF0070C0"/>
        <rFont val="맑은 고딕"/>
        <family val="3"/>
        <charset val="129"/>
      </rPr>
      <t xml:space="preserve">
 - 과거 실적이 연간 100만 원 내외로, 주로 잡손실이나 환차손 등 우발적 비용 성격을 띔
 - 큰 변동 요인이 없으므로 물가상승률(연 3%) 수준의 증가율 적용
</t>
    </r>
    <r>
      <rPr>
        <b/>
        <sz val="11"/>
        <color rgb="FF0070C0"/>
        <rFont val="맑은 고딕"/>
        <family val="3"/>
        <charset val="129"/>
      </rPr>
      <t>매출채권처분손실</t>
    </r>
    <r>
      <rPr>
        <sz val="11"/>
        <color rgb="FF0070C0"/>
        <rFont val="맑은 고딕"/>
        <family val="3"/>
        <charset val="129"/>
      </rPr>
      <t xml:space="preserve">
 - 최근 3개년 모두 발생하지 않았고, SaaS 서비스 특성상 선결제·월 구독 구조가 확대되어 발생 가능성이 낮음
 - 따라서 2025~2029년 동안은 0원(해당 없음)으로 추정</t>
    </r>
    <phoneticPr fontId="2" type="noConversion"/>
  </si>
  <si>
    <r>
      <rPr>
        <b/>
        <sz val="11"/>
        <color rgb="FF0070C0"/>
        <rFont val="맑은 고딕"/>
        <family val="3"/>
        <charset val="129"/>
      </rPr>
      <t>이자수익</t>
    </r>
    <r>
      <rPr>
        <sz val="11"/>
        <color rgb="FF0070C0"/>
        <rFont val="맑은 고딕"/>
        <family val="3"/>
        <charset val="129"/>
      </rPr>
      <t xml:space="preserve">
 - 2022~2024년 실적을 보면 소규모이나 점진적 증가 추세
 - 회사가 보유한 정부과제 보조금 및 운전자금 예치금에서 발생하는 이자수익을 반영
 - 금리 변동성을 감안해 연 5% 내외 보수적 증가율을 적용하여 추정
</t>
    </r>
    <r>
      <rPr>
        <b/>
        <sz val="11"/>
        <color rgb="FF0070C0"/>
        <rFont val="맑은 고딕"/>
        <family val="3"/>
        <charset val="129"/>
      </rPr>
      <t>기타영업외수익</t>
    </r>
    <r>
      <rPr>
        <sz val="11"/>
        <color rgb="FF0070C0"/>
        <rFont val="맑은 고딕"/>
        <family val="3"/>
        <charset val="129"/>
      </rPr>
      <t xml:space="preserve">
 - 2023년부터 크게 증가하여 2024년에도 전년 대비 약 16.5% 증가
 - 주요 구성은 정부 및 공공기관 지원금, 환입금, 환율 관련 수익 등으로 파악
 - 다만 변동성이 큰 항목이므로, ’23→’24 성장률보다는 낮게 연 8% 성장률 가정
이는 지속적인 정부 지원사업 참여와 해외 파트너십 확장에 따른 안정적 성장 가능성을 반영한 수치입니다.</t>
    </r>
    <phoneticPr fontId="2" type="noConversion"/>
  </si>
  <si>
    <t>※ 상기 수주잔고 내역은 2025년 8월 31일 기준 확정된 계약 건을 반영한 금액입니다. 현재 기재된 계약 외에도 복수의 신규 프로젝트 및 계약 협의가 진행 중에 있으며, 
이들 계약이 순차적으로 반영될 예정입니다. 따라서 목표 매출 달성에는 차질이 없을 것으로 판단됩니다.</t>
    <phoneticPr fontId="2" type="noConversion"/>
  </si>
  <si>
    <t>웹·앱 제작 시장은 최근 No/Low-Code 기술과 생성형 AI의 결합을 중심으로 빠르게 성장하고 있습니다. 글로벌 시장은 2024년 약 284억 달러에서 2030년 1,873억 달러까지 성장할 것으로 전망되며, 연평균 성장률은 약 35%에 달합니다.
당사는 이러한 흐름 속에서 “바이브 코딩(Vibe Coding)”이라는 새로운 제작 방식을 제시하고 있습니다. 바이브 코딩은 사용자가 대화·텍스트·이미지 등 자연스러운 입력 신호만으로도 웹을 설계·개발할 수 있도록 지원하는 접근법입니다. 기존의 코드 작성이나 블록형 빌더 방식보다 직관적이고 협업 친화적이어서, 개발 경험이 없는 사용자도 손쉽게 웹사이트와 서비스를 구현할 수 있습니다.
이를 구현한 서비스가 ZAEMIT과 Z.STUDIO입니다.
 * ZAEMIT :  대화만으로 기획·디자인·코딩·배포까지 자동화하는 AI 기반 대화형 웹 제작 서비스
 * Z.STUDIO :  실시간 협업 기능을 통해 여러 사용자가 동시에 기획·디자인·개발을 진행할 수 있는 실시간 협업형 웹·앱 제작 플랫폼
실적 측면에서도 꾸준히 성장세를 보이고 있습니다.
 * 매출은 2022년 1.6억 원, 2023년 7.9억 원, 2024년 10.1억 원으로 3년 연속 증가했습니다(표준재무제표증명 기준).
 * 사용자 지표 역시 2025년 상반기 기준 월간 활성 사용자 1만 명, 고유 사용자 1.9만 명 이상을 기록하며 시장 반응을 확인하였습니다.
또한 일본 현지 파트너와 MOU를 체결하고, 오는 9월에는 일본형 Z.STUDIO 출시를 준비하는 등 해외 시장에서도 바이브 코딩 기반 SaaS의 확장성을 검증하고 있습니다. 이를 통해 국내 초기 실적과 기술력을 바탕으로 글로벌 SaaS 시장 진입을 본격화할 계획입니다.</t>
    <phoneticPr fontId="2" type="noConversion"/>
  </si>
  <si>
    <t>2025년 8월 기준, 당사의 확정 수주 금액은 총 2억 5,200만 원이며, 이 중 1억 2,000만 원은 아직 납품이 완료되지 않은 잔액으로 하반기 및 내년 상반기 매출로 인식될 예정입니다.
주요 계약 현황은 다음과 같습니다.
소상공인시장진흥공단: ZAEMIT 97건, 일부 선입금 완료, 납기 2027년 6월
농정원: Z.STUDIO 구축, 계약금액 5천만 원, 선금 입금 완료, 납기 2025년 12월
주얼리 업체: Z.STUDIO, 계약금액 6천만 원, 선금 입금 완료, 납기 2025년 11월
꿈선생: Z.STUDIO, 계약금액 5천5백만 원, 선금 입금 완료, 납기 2025년 10월
기타: 한국스타트업피봇팅협회, 포네이처스, 로웨인 등 다수의 기관 및 기업과 프로젝트 계약 진행 중
2024년 매출은 약 10억 원으로, B2B 및 B2G 프로젝트를 통해 안정적인 수익 흐름을 확보하였습니다. 현재는 B2B 프로젝트형 수익과 SaaS 구독형 매출을 병행하고 있으며, 이를 통해 현금흐름 안정성과 반복 매출 기반을 동시에 강화하고 있습니다.
특히, 당사는 B2C·B2B·B2G 각 세그먼트별로 안정적인 매출 기반을 확보하고 있습니다.
B2C: ZAEMIT 구독형 서비스 판매를 통해 소규모 사업자와 일반 사용자 수요를 충족하며, 지속적인 월 구독 수익을 창출하고 있습니다.
B2B: Z.STUDIO를 중심으로 기업 고객을 대상으로 맞춤형 구축·과금 구조를 운영하여 프로젝트 단위 매출을 안정적으로 확보하고 있습니다.
B2G: 소상공인시장진흥공단, 농정원 등 공공기관 과제를 통해 대량 공급 및 장기 납품 계약을 체결하여 예측 가능한 매출 흐름을 확보하였습니다.
이처럼 B2C 구독 매출–B2B 프로젝트 매출–B2G 공공 과제 매출이 균형을 이루는 구조를 통해, 특정 시장 의존도를 줄이고 안정적인 성장을 이어가고 있습니다.</t>
    <phoneticPr fontId="2" type="noConversion"/>
  </si>
  <si>
    <t>제1회 무보증 전환사채 50,000,000원, 전환가격 500원, 전환가능주식수 100,000주 (보통주), 전환청구기간 2022.09.07 ~ 2025.09.13</t>
    <phoneticPr fontId="2" type="noConversion"/>
  </si>
  <si>
    <t>성공</t>
    <phoneticPr fontId="2" type="noConversion"/>
  </si>
  <si>
    <t>AI모델 개발 및 컨설팅 용역</t>
    <phoneticPr fontId="2" type="noConversion"/>
  </si>
  <si>
    <t>23.01.01~23.03.23</t>
    <phoneticPr fontId="2" type="noConversion"/>
  </si>
  <si>
    <t>스마트콘텐츠 제작도구 디자인 지원</t>
    <phoneticPr fontId="2" type="noConversion"/>
  </si>
  <si>
    <t>23.07.31~23.09.30</t>
    <phoneticPr fontId="2" type="noConversion"/>
  </si>
  <si>
    <t>디자인개발</t>
    <phoneticPr fontId="2" type="noConversion"/>
  </si>
  <si>
    <t>23.11.01~23.11.30</t>
    <phoneticPr fontId="2" type="noConversion"/>
  </si>
  <si>
    <t>SW시험_weven editor v1.0</t>
    <phoneticPr fontId="2" type="noConversion"/>
  </si>
  <si>
    <t>23.11.01~23.12.31</t>
    <phoneticPr fontId="2" type="noConversion"/>
  </si>
  <si>
    <t>마케팅 및 홍보대행</t>
    <phoneticPr fontId="2" type="noConversion"/>
  </si>
  <si>
    <t>23.08.01~23.11.30</t>
    <phoneticPr fontId="2" type="noConversion"/>
  </si>
  <si>
    <t>콘텐츠 제작도구 마케팅 및 홍보대행</t>
    <phoneticPr fontId="2" type="noConversion"/>
  </si>
  <si>
    <t>23.12.01~23.12.31</t>
    <phoneticPr fontId="2" type="noConversion"/>
  </si>
  <si>
    <t>웹콘텐츠솔루션활용</t>
    <phoneticPr fontId="2" type="noConversion"/>
  </si>
  <si>
    <t>MICE웹개발</t>
    <phoneticPr fontId="2" type="noConversion"/>
  </si>
  <si>
    <t>24.06.17~24.07.31</t>
    <phoneticPr fontId="2" type="noConversion"/>
  </si>
  <si>
    <t>24.05.20~24.06.30</t>
    <phoneticPr fontId="2" type="noConversion"/>
  </si>
  <si>
    <t>구독서비스</t>
    <phoneticPr fontId="3" type="noConversion"/>
  </si>
  <si>
    <t>부가서비스</t>
    <phoneticPr fontId="2" type="noConversion"/>
  </si>
  <si>
    <t>솔루션판매</t>
    <phoneticPr fontId="2" type="noConversion"/>
  </si>
  <si>
    <t>제작대행</t>
    <phoneticPr fontId="2" type="noConversion"/>
  </si>
  <si>
    <t>유지보수 및 기타</t>
    <phoneticPr fontId="2" type="noConversion"/>
  </si>
  <si>
    <t>커머스거래수수료</t>
    <phoneticPr fontId="2" type="noConversion"/>
  </si>
  <si>
    <t>협의</t>
    <phoneticPr fontId="2" type="noConversion"/>
  </si>
  <si>
    <r>
      <rPr>
        <b/>
        <sz val="11"/>
        <color rgb="FF0070C0"/>
        <rFont val="맑은 고딕"/>
        <family val="3"/>
        <charset val="129"/>
      </rPr>
      <t>1) 인건비(급여, 보험료, 복리후생비, 퇴직급여) : 인력 규모가 2024년 21명 → 2029년 70명으로 약 3배 이상 확대</t>
    </r>
    <r>
      <rPr>
        <sz val="11"/>
        <color rgb="FF0070C0"/>
        <rFont val="맑은 고딕"/>
        <family val="3"/>
        <charset val="129"/>
      </rPr>
      <t xml:space="preserve">
 - 2024년 21명 → 2029년 70명으로 인원 증가, 인당 평균 연봉 + 물가상승률(3~5%) 반영
 - 연구개발·서비스 운영·마케팅 인력 확충을 통해 성장동력을 확보하는 전략을 반영
 - 4대보험, 복리후생비도 인건비 증가율에 연동하여 추정
 - 인건비 항목은 판관비 중 가장 큰 비중을 차지하며, 성장 전략에 따라 점진적으로 확대되는 구조
→ 전문 인력 확보로 서비스 품질과 연구개발 역량 강화, 글로벌 진출 대비 조직 역량 확보
</t>
    </r>
    <r>
      <rPr>
        <b/>
        <sz val="11"/>
        <color rgb="FF0070C0"/>
        <rFont val="맑은 고딕"/>
        <family val="3"/>
        <charset val="129"/>
      </rPr>
      <t>2) 임차료·관리비·광열비 등 고정비 : 사무실 확장 및 연구소 운영에 따른 임차료, 관리비, 수도광열비 증가</t>
    </r>
    <r>
      <rPr>
        <sz val="11"/>
        <color rgb="FF0070C0"/>
        <rFont val="맑은 고딕"/>
        <family val="3"/>
        <charset val="129"/>
      </rPr>
      <t xml:space="preserve">
 - 임차료 및 관리비는 물가상승률(연 3%) 및 사무공간 확대에 따라 상승
 - 2024년 실적을 기준으로 매출 및 인원 증가에 맞춰 매년 5~10% 수준 상승 반영
 - 고정비 항목은 매출 변동과 무관하게 점진적·안정적으로 증가하도록 추정
→ 인력 증가에 따른 업무공간 확보, 쾌적한 근무환경 유지, 생산성 향상
</t>
    </r>
    <r>
      <rPr>
        <b/>
        <sz val="11"/>
        <color rgb="FF0070C0"/>
        <rFont val="맑은 고딕"/>
        <family val="3"/>
        <charset val="129"/>
      </rPr>
      <t>3) 사업 확장 및 성장 비용(광고선전비, 경상개발비, 교육훈련비) : 매출 성장률(연평균 40~50%)에 비례하여 마케팅·R&amp;D·교육비 확대</t>
    </r>
    <r>
      <rPr>
        <sz val="11"/>
        <color rgb="FF0070C0"/>
        <rFont val="맑은 고딕"/>
        <family val="3"/>
        <charset val="129"/>
      </rPr>
      <t xml:space="preserve">
 - 광고선전비
  * 2025~2027년: 적극적인 시장 점유율 확대 단계로 매출 대비 높은 비중 투입
  * 2028~2029년: 브랜드 인지도 확보 이후, 매출 대비 비중이 점차 축소되어 효율성 개선
 - 경상개발비: 핵심 플랫폼(Zaemit, Z.STUDIO) 고도화 및 보안 모듈, 협업 기능 강화, 신규 사업 진출 준비를 위해 매출 성장률과 비례하여 증가
 - 교육훈련비: 글로벌 역량 확보 및 인재 육성, 조직 확장에 따라 교육·훈련 확대. 연 7% 상승 가정
→ 브랜드 인지도 상승, 기술 경쟁력 확보, 인재 역량 강화 → 매출 증대와 직결
</t>
    </r>
    <r>
      <rPr>
        <b/>
        <sz val="11"/>
        <color rgb="FF0070C0"/>
        <rFont val="맑은 고딕"/>
        <family val="3"/>
        <charset val="129"/>
      </rPr>
      <t xml:space="preserve">4) 매출 연동 비용(지급수수료, 세금과공과 등) : 매출액 증가와 비례
</t>
    </r>
    <r>
      <rPr>
        <sz val="11"/>
        <color rgb="FF0070C0"/>
        <rFont val="맑은 고딕"/>
        <family val="3"/>
        <charset val="129"/>
      </rPr>
      <t xml:space="preserve"> - 지급수수료: PG사 결제수수료, 클라우드 사용료 등 매출 확대에 따라 증가
 - 세금과공과: 매출 성장 및 인력 증가에 따른 공과금·면허세·4대보험 사용자 부담분 증가를 반영, 2023년 이후 연평균 10~12%의 증가율을 적용
→ 안정적인 결제 프로세스 운영, 법적 의무 준수 및 대외 신뢰도 확보
</t>
    </r>
    <r>
      <rPr>
        <b/>
        <sz val="11"/>
        <color rgb="FF0070C0"/>
        <rFont val="맑은 고딕"/>
        <family val="3"/>
        <charset val="129"/>
      </rPr>
      <t>5) 기타 비용(소모품비, 인쇄비, 기타) : 인력 증가 및 사업 확장에 따라 기본 소모성 비용이 매년 5~8% 증가</t>
    </r>
    <r>
      <rPr>
        <sz val="11"/>
        <color rgb="FF0070C0"/>
        <rFont val="맑은 고딕"/>
        <family val="3"/>
        <charset val="129"/>
      </rPr>
      <t xml:space="preserve">
 - 인소모품비·인쇄비는 물가상승률(2~3%)에 맞춰 점진적 증가.
 - 기타 비용은 불확실성을 고려해 연 2% 상승 가정
→ 안정적인 사무환경 운영, 예기치 못한 비용 발생에 대한 대응력 확보</t>
    </r>
    <phoneticPr fontId="2" type="noConversion"/>
  </si>
  <si>
    <t>매출총액</t>
    <phoneticPr fontId="2" type="noConversion"/>
  </si>
  <si>
    <t>※ 당사의 주요 매출은 구독형 SaaS 서비스(ZAEMIT, Z.STUDIO) 및 프로젝트 단위 계약을 기반으로 발생하고 있습니다.
SaaS 서비스의 매출 구조는 물리적 제품 판매와 달리, ① 소프트웨어 사용료, ② 사용자 수 증가, ③ 계약 규모 및 범위 등에 따라 산정됩니다.
따라서 매출액은 실제 이용량과 계약 조건에 따라 유동적으로 발생하며, 특정한 ‘수량 단위(예: 개수, 건수)’로 일괄 구분하기가 어렵습니다.
이에 본 매출실적 및 추정 표에서는 매출액 중심으로만 기재하였으며, 수량 항목은 기재하지 않았음을 참고 부탁드립니다.</t>
    <phoneticPr fontId="2" type="noConversion"/>
  </si>
  <si>
    <t>※ 매출 추정 근거
&lt;국내&gt;
 - 당사는 2022~2024년 동안 꾸준한 실적 성장을 기반으로 안정적인 국내 매출을 확보해왔습니다.
 - 2025년은 기존 B2B/B2G 고객사 유지·관리 매출과 신규 프로젝트 수주에 더해, B2C SaaS 구독 매출이 본격적으로 발생하게 됩니다.
 - 이는 단순히 프로젝트성 매출 의존도를 낮추고, 구독형 반복 매출 구조를 추가 확보한다는 점에서 매우 중요한 전환점이며, 전체 매출 안정성 제고에 기여할 것으로 전망됩니다.
 - 2026년 이후에는 공공 조달시장 진출(CSAP 인증, K-Cloud 등록 등)과 SaaS 구독형 서비스 확산을 통해 매년 안정적인 성장을 기록, 2029년에는 약 295억 원까지 확대될 것으로 추정하였습니다.
 - 추정 방식은 기존 거래처 유지율(약 80% 이상) + 신규 레퍼런스 확장 효과를 반영하여 산정하였습니다.
&lt;해외&gt;
 - 2025년은 일본·인도 등 글로벌 파트너사와 논의 및 PoC 진행 단계로, 실제 매출 발생 가능성을 보수적으로 반영하여 0.5억 원 수준으로 설정하였습니다.
 - 2026년에는 현지화(다국어 지원, 해외 결제 연동 등) 및 초기 파트너십 계약을 통해 10억 원 규모 매출을 예상하였으며, 이후 파트너 확대와 레퍼런스 확보에 따라 점진적으로 증가할 것으로 전망됩니다.
 - 2027~2028년은 글로벌 SaaS 시장 내 안정적인 진입을 바탕으로 70억 원 수준의 매출을 예상하였고, 2029년에는 누적 파트너십, 현지 조달시장 진입 및 대규모 고객 확보를 통해 160억 원 수준의 해외 매출이 발생할 것으로 추정하였습니다.
이는 해외 SaaS 시장 성장률(연평균 15% 이상) + 당사 현지 파트너 네트워크 확장 계획을 근거로 산정하였습니다.
&lt;종합&gt;
 - 2025년은 단순 매출 성장뿐만 아니라 B2C 매출이 본격적으로 발생하는 원년으로, 당사의 매출 구조 다각화 및 안정적 구독 매출 기반 확보라는 전략적 의미가 있습니다.
2026년 이후에는 해외 진출과 SaaS 구독 확산을 통한 성장이 동시에 반영되며, 2029년에는 총 매출 약 3조 원 규모 달성이 가능할 것으로 추정됩니다.
요약하면, B2B/B2G 기반 안정성 + B2C 확장성 + 해외 시장 성장성이라는 3축 전략을 통해 매출 구조를 안정화하면서도 공격적인 성장을 동시에 실현할 수 있을 것으로 판단됩니다.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</si>
</sst>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,##0_ "/>
    <numFmt numFmtId="178" formatCode="0.0%"/>
    <numFmt numFmtId="179" formatCode="0.000%"/>
    <numFmt numFmtId="180" formatCode="_-* #,##0_);\(#,##0\);_-* &quot;-&quot;_);_-@_-"/>
    <numFmt numFmtId="181" formatCode="#,##0_);\(#,##0\)"/>
    <numFmt numFmtId="182" formatCode="_-* #,##0.000_-;\-* #,##0.000_-;_-* &quot;-&quot;_-;_-@_-"/>
    <numFmt numFmtId="183" formatCode="_-* #,##0.0_-;\-* #,##0.0_-;_-* &quot;-&quot;_-;_-@_-"/>
    <numFmt numFmtId="184" formatCode="#,###,"/>
    <numFmt numFmtId="185" formatCode="#,##0;[Red]\(#,##0\);\-"/>
    <numFmt numFmtId="186" formatCode="#,##0;\(#,##0\);\-"/>
    <numFmt numFmtId="187" formatCode="_-* #,##0.00_-;\-* #,##0.00_-;_-* &quot;-&quot;_-;_-@_-"/>
    <numFmt numFmtId="189" formatCode="_-* #,##0.00000_-;\-* #,##0.00000_-;_-* &quot;-&quot;_-;_-@_-"/>
    <numFmt numFmtId="191" formatCode="#,##0.0_);[Red]\(#,##0.0\)"/>
    <numFmt numFmtId="192" formatCode="#,##0.00_);[Red]\(#,##0.00\)"/>
  </numFmts>
  <fonts count="56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8"/>
      <name val="HY그래픽M"/>
      <family val="1"/>
      <charset val="129"/>
    </font>
    <font>
      <sz val="10"/>
      <color indexed="8"/>
      <name val="HY그래픽M"/>
      <family val="1"/>
      <charset val="129"/>
    </font>
    <font>
      <b/>
      <sz val="14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1"/>
      <name val="돋움"/>
      <family val="3"/>
      <charset val="129"/>
    </font>
    <font>
      <sz val="11"/>
      <name val="Times New Roman"/>
      <family val="1"/>
    </font>
    <font>
      <b/>
      <sz val="12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0"/>
      <color theme="1"/>
      <name val="HY그래픽M"/>
      <family val="1"/>
      <charset val="129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2"/>
      <color indexed="10"/>
      <name val="맑은 고딕"/>
      <family val="3"/>
      <charset val="129"/>
      <scheme val="minor"/>
    </font>
    <font>
      <sz val="12"/>
      <color indexed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i/>
      <u/>
      <sz val="12"/>
      <color rgb="FFFF0000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indexed="12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i/>
      <sz val="10"/>
      <color rgb="FFFF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</font>
    <font>
      <b/>
      <i/>
      <sz val="10"/>
      <color rgb="FF0070C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</font>
    <font>
      <b/>
      <sz val="11"/>
      <color rgb="FF0070C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/>
    <xf numFmtId="0" fontId="9" fillId="0" borderId="0"/>
    <xf numFmtId="0" fontId="27" fillId="0" borderId="0"/>
    <xf numFmtId="9" fontId="9" fillId="0" borderId="0" applyFont="0" applyFill="0" applyBorder="0" applyAlignment="0" applyProtection="0">
      <alignment vertical="center"/>
    </xf>
    <xf numFmtId="0" fontId="13" fillId="0" borderId="0">
      <alignment vertical="center"/>
    </xf>
  </cellStyleXfs>
  <cellXfs count="434">
    <xf numFmtId="0" fontId="0" fillId="0" borderId="0" xfId="0">
      <alignment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8" fillId="0" borderId="0" xfId="5" applyFont="1">
      <alignment vertical="center"/>
    </xf>
    <xf numFmtId="0" fontId="19" fillId="0" borderId="0" xfId="5" applyFont="1">
      <alignment vertical="center"/>
    </xf>
    <xf numFmtId="41" fontId="20" fillId="0" borderId="0" xfId="3" applyFont="1">
      <alignment vertical="center"/>
    </xf>
    <xf numFmtId="0" fontId="20" fillId="0" borderId="0" xfId="5" applyFont="1">
      <alignment vertical="center"/>
    </xf>
    <xf numFmtId="0" fontId="20" fillId="0" borderId="0" xfId="5" applyFont="1" applyAlignment="1">
      <alignment horizontal="right" vertical="center"/>
    </xf>
    <xf numFmtId="0" fontId="20" fillId="0" borderId="0" xfId="5" applyFont="1" applyAlignment="1">
      <alignment horizontal="center" vertical="center"/>
    </xf>
    <xf numFmtId="0" fontId="20" fillId="0" borderId="1" xfId="5" applyFont="1" applyBorder="1">
      <alignment vertical="center"/>
    </xf>
    <xf numFmtId="41" fontId="20" fillId="0" borderId="1" xfId="3" applyFont="1" applyBorder="1">
      <alignment vertical="center"/>
    </xf>
    <xf numFmtId="0" fontId="5" fillId="2" borderId="0" xfId="5" applyFont="1" applyFill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1" xfId="0" applyFont="1" applyBorder="1">
      <alignment vertical="center"/>
    </xf>
    <xf numFmtId="0" fontId="21" fillId="0" borderId="0" xfId="0" quotePrefix="1" applyFont="1">
      <alignment vertical="center"/>
    </xf>
    <xf numFmtId="0" fontId="22" fillId="0" borderId="0" xfId="0" applyFont="1">
      <alignment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3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8" xfId="0" applyFont="1" applyBorder="1">
      <alignment vertical="center"/>
    </xf>
    <xf numFmtId="0" fontId="18" fillId="0" borderId="0" xfId="0" quotePrefix="1" applyFont="1">
      <alignment vertical="center"/>
    </xf>
    <xf numFmtId="0" fontId="18" fillId="0" borderId="0" xfId="0" applyFont="1" applyAlignment="1">
      <alignment horizontal="right" vertical="center"/>
    </xf>
    <xf numFmtId="41" fontId="7" fillId="2" borderId="1" xfId="2" applyFont="1" applyFill="1" applyBorder="1" applyAlignment="1">
      <alignment horizontal="center" vertical="center" shrinkToFit="1"/>
    </xf>
    <xf numFmtId="14" fontId="7" fillId="0" borderId="1" xfId="6" applyNumberFormat="1" applyFont="1" applyBorder="1" applyAlignment="1">
      <alignment horizontal="center" vertical="center" shrinkToFit="1"/>
    </xf>
    <xf numFmtId="14" fontId="7" fillId="2" borderId="1" xfId="6" applyNumberFormat="1" applyFont="1" applyFill="1" applyBorder="1" applyAlignment="1">
      <alignment horizontal="center" vertical="center" shrinkToFit="1"/>
    </xf>
    <xf numFmtId="180" fontId="7" fillId="2" borderId="1" xfId="4" applyNumberFormat="1" applyFont="1" applyFill="1" applyBorder="1" applyAlignment="1">
      <alignment vertical="center" shrinkToFit="1"/>
    </xf>
    <xf numFmtId="10" fontId="7" fillId="2" borderId="1" xfId="6" applyNumberFormat="1" applyFont="1" applyFill="1" applyBorder="1" applyAlignment="1">
      <alignment horizontal="center" vertical="center" shrinkToFit="1"/>
    </xf>
    <xf numFmtId="41" fontId="7" fillId="0" borderId="1" xfId="4" applyFont="1" applyFill="1" applyBorder="1" applyAlignment="1">
      <alignment horizontal="center" vertical="center" shrinkToFit="1"/>
    </xf>
    <xf numFmtId="0" fontId="11" fillId="0" borderId="0" xfId="5" applyFont="1">
      <alignment vertical="center"/>
    </xf>
    <xf numFmtId="0" fontId="12" fillId="0" borderId="0" xfId="5" applyFont="1">
      <alignment vertical="center"/>
    </xf>
    <xf numFmtId="0" fontId="6" fillId="2" borderId="0" xfId="5" applyFont="1" applyFill="1">
      <alignment vertical="center"/>
    </xf>
    <xf numFmtId="0" fontId="6" fillId="2" borderId="0" xfId="5" applyFont="1" applyFill="1" applyAlignment="1">
      <alignment horizontal="center" vertical="center"/>
    </xf>
    <xf numFmtId="41" fontId="7" fillId="0" borderId="0" xfId="3" applyFont="1">
      <alignment vertical="center"/>
    </xf>
    <xf numFmtId="0" fontId="7" fillId="0" borderId="0" xfId="5" applyFont="1">
      <alignment vertical="center"/>
    </xf>
    <xf numFmtId="0" fontId="7" fillId="2" borderId="0" xfId="5" applyFont="1" applyFill="1">
      <alignment vertical="center"/>
    </xf>
    <xf numFmtId="43" fontId="7" fillId="2" borderId="0" xfId="5" applyNumberFormat="1" applyFont="1" applyFill="1" applyAlignment="1">
      <alignment horizontal="right" vertical="center"/>
    </xf>
    <xf numFmtId="43" fontId="7" fillId="2" borderId="0" xfId="5" applyNumberFormat="1" applyFont="1" applyFill="1">
      <alignment vertical="center"/>
    </xf>
    <xf numFmtId="41" fontId="6" fillId="2" borderId="10" xfId="3" applyFont="1" applyFill="1" applyBorder="1" applyAlignment="1">
      <alignment horizontal="left" vertical="center" wrapText="1"/>
    </xf>
    <xf numFmtId="9" fontId="6" fillId="2" borderId="10" xfId="1" applyFont="1" applyFill="1" applyBorder="1" applyAlignment="1">
      <alignment horizontal="center" vertical="center" wrapText="1"/>
    </xf>
    <xf numFmtId="177" fontId="6" fillId="2" borderId="1" xfId="5" applyNumberFormat="1" applyFont="1" applyFill="1" applyBorder="1">
      <alignment vertical="center"/>
    </xf>
    <xf numFmtId="9" fontId="6" fillId="2" borderId="1" xfId="1" applyFont="1" applyFill="1" applyBorder="1" applyAlignment="1">
      <alignment horizontal="center" vertical="center"/>
    </xf>
    <xf numFmtId="177" fontId="7" fillId="2" borderId="9" xfId="5" applyNumberFormat="1" applyFont="1" applyFill="1" applyBorder="1">
      <alignment vertical="center"/>
    </xf>
    <xf numFmtId="178" fontId="7" fillId="2" borderId="9" xfId="1" applyNumberFormat="1" applyFont="1" applyFill="1" applyBorder="1" applyAlignment="1">
      <alignment vertical="center"/>
    </xf>
    <xf numFmtId="179" fontId="7" fillId="2" borderId="9" xfId="1" applyNumberFormat="1" applyFont="1" applyFill="1" applyBorder="1" applyAlignment="1">
      <alignment vertical="center"/>
    </xf>
    <xf numFmtId="177" fontId="7" fillId="2" borderId="11" xfId="5" applyNumberFormat="1" applyFont="1" applyFill="1" applyBorder="1">
      <alignment vertical="center"/>
    </xf>
    <xf numFmtId="177" fontId="6" fillId="3" borderId="11" xfId="5" applyNumberFormat="1" applyFont="1" applyFill="1" applyBorder="1">
      <alignment vertical="center"/>
    </xf>
    <xf numFmtId="9" fontId="6" fillId="3" borderId="11" xfId="1" applyFont="1" applyFill="1" applyBorder="1" applyAlignment="1">
      <alignment horizontal="center" vertical="center"/>
    </xf>
    <xf numFmtId="177" fontId="6" fillId="3" borderId="1" xfId="5" applyNumberFormat="1" applyFont="1" applyFill="1" applyBorder="1">
      <alignment vertical="center"/>
    </xf>
    <xf numFmtId="9" fontId="6" fillId="3" borderId="1" xfId="1" applyFont="1" applyFill="1" applyBorder="1" applyAlignment="1">
      <alignment horizontal="center" vertical="center"/>
    </xf>
    <xf numFmtId="177" fontId="7" fillId="2" borderId="1" xfId="5" applyNumberFormat="1" applyFont="1" applyFill="1" applyBorder="1">
      <alignment vertical="center"/>
    </xf>
    <xf numFmtId="178" fontId="7" fillId="2" borderId="1" xfId="1" applyNumberFormat="1" applyFont="1" applyFill="1" applyBorder="1" applyAlignment="1">
      <alignment vertical="center"/>
    </xf>
    <xf numFmtId="0" fontId="6" fillId="0" borderId="0" xfId="5" applyFont="1" applyAlignment="1">
      <alignment horizontal="left" vertical="center" wrapText="1"/>
    </xf>
    <xf numFmtId="177" fontId="6" fillId="0" borderId="0" xfId="5" applyNumberFormat="1" applyFont="1">
      <alignment vertical="center"/>
    </xf>
    <xf numFmtId="0" fontId="6" fillId="0" borderId="0" xfId="5" applyFont="1" applyAlignment="1">
      <alignment horizontal="left" vertical="top" wrapText="1"/>
    </xf>
    <xf numFmtId="0" fontId="6" fillId="0" borderId="0" xfId="5" applyFont="1">
      <alignment vertical="center"/>
    </xf>
    <xf numFmtId="41" fontId="7" fillId="0" borderId="0" xfId="5" applyNumberFormat="1" applyFont="1">
      <alignment vertical="center"/>
    </xf>
    <xf numFmtId="41" fontId="12" fillId="0" borderId="0" xfId="3" applyFont="1">
      <alignment vertical="center"/>
    </xf>
    <xf numFmtId="41" fontId="12" fillId="0" borderId="0" xfId="5" applyNumberFormat="1" applyFont="1">
      <alignment vertical="center"/>
    </xf>
    <xf numFmtId="0" fontId="12" fillId="0" borderId="0" xfId="5" applyFont="1" applyAlignment="1">
      <alignment horizontal="center" vertical="center"/>
    </xf>
    <xf numFmtId="0" fontId="12" fillId="3" borderId="1" xfId="5" applyFont="1" applyFill="1" applyBorder="1">
      <alignment vertical="center"/>
    </xf>
    <xf numFmtId="0" fontId="11" fillId="0" borderId="0" xfId="5" applyFont="1" applyAlignment="1">
      <alignment horizontal="center" vertical="center"/>
    </xf>
    <xf numFmtId="0" fontId="11" fillId="0" borderId="0" xfId="5" quotePrefix="1" applyFont="1">
      <alignment vertical="center"/>
    </xf>
    <xf numFmtId="10" fontId="12" fillId="0" borderId="0" xfId="5" applyNumberFormat="1" applyFont="1">
      <alignment vertical="center"/>
    </xf>
    <xf numFmtId="0" fontId="17" fillId="0" borderId="0" xfId="0" quotePrefix="1" applyFont="1">
      <alignment vertical="center"/>
    </xf>
    <xf numFmtId="0" fontId="12" fillId="0" borderId="0" xfId="5" applyFont="1" applyAlignment="1">
      <alignment horizontal="left" vertical="top" wrapText="1"/>
    </xf>
    <xf numFmtId="3" fontId="12" fillId="0" borderId="0" xfId="5" applyNumberFormat="1" applyFont="1" applyAlignment="1">
      <alignment horizontal="right" vertical="top" wrapText="1"/>
    </xf>
    <xf numFmtId="3" fontId="12" fillId="0" borderId="0" xfId="5" applyNumberFormat="1" applyFont="1">
      <alignment vertical="center"/>
    </xf>
    <xf numFmtId="0" fontId="18" fillId="7" borderId="0" xfId="0" applyFont="1" applyFill="1">
      <alignment vertical="center"/>
    </xf>
    <xf numFmtId="0" fontId="18" fillId="0" borderId="5" xfId="0" applyFont="1" applyBorder="1">
      <alignment vertical="center"/>
    </xf>
    <xf numFmtId="0" fontId="18" fillId="0" borderId="15" xfId="0" applyFont="1" applyBorder="1">
      <alignment vertical="center"/>
    </xf>
    <xf numFmtId="0" fontId="20" fillId="0" borderId="11" xfId="5" applyFont="1" applyBorder="1">
      <alignment vertical="center"/>
    </xf>
    <xf numFmtId="41" fontId="20" fillId="0" borderId="11" xfId="3" applyFont="1" applyBorder="1">
      <alignment vertical="center"/>
    </xf>
    <xf numFmtId="0" fontId="20" fillId="0" borderId="5" xfId="5" applyFont="1" applyBorder="1">
      <alignment vertical="center"/>
    </xf>
    <xf numFmtId="0" fontId="20" fillId="0" borderId="16" xfId="5" applyFont="1" applyBorder="1">
      <alignment vertical="center"/>
    </xf>
    <xf numFmtId="0" fontId="6" fillId="3" borderId="17" xfId="5" applyFont="1" applyFill="1" applyBorder="1" applyAlignment="1">
      <alignment horizontal="center" vertical="center" wrapText="1"/>
    </xf>
    <xf numFmtId="0" fontId="6" fillId="3" borderId="18" xfId="5" applyFont="1" applyFill="1" applyBorder="1" applyAlignment="1">
      <alignment horizontal="center" vertical="center" wrapText="1"/>
    </xf>
    <xf numFmtId="0" fontId="6" fillId="6" borderId="18" xfId="5" applyFont="1" applyFill="1" applyBorder="1" applyAlignment="1">
      <alignment horizontal="center" vertical="center" wrapText="1"/>
    </xf>
    <xf numFmtId="0" fontId="6" fillId="6" borderId="19" xfId="5" applyFont="1" applyFill="1" applyBorder="1" applyAlignment="1">
      <alignment horizontal="center" vertical="center" wrapText="1"/>
    </xf>
    <xf numFmtId="0" fontId="6" fillId="2" borderId="6" xfId="5" applyFont="1" applyFill="1" applyBorder="1" applyAlignment="1">
      <alignment horizontal="left" vertical="center" wrapText="1"/>
    </xf>
    <xf numFmtId="9" fontId="6" fillId="2" borderId="20" xfId="1" applyFont="1" applyFill="1" applyBorder="1" applyAlignment="1">
      <alignment horizontal="center" vertical="center" wrapText="1"/>
    </xf>
    <xf numFmtId="0" fontId="6" fillId="2" borderId="5" xfId="5" applyFont="1" applyFill="1" applyBorder="1" applyAlignment="1">
      <alignment horizontal="left" vertical="center" wrapText="1"/>
    </xf>
    <xf numFmtId="9" fontId="6" fillId="2" borderId="7" xfId="1" applyFont="1" applyFill="1" applyBorder="1" applyAlignment="1">
      <alignment horizontal="center" vertical="center"/>
    </xf>
    <xf numFmtId="0" fontId="7" fillId="2" borderId="21" xfId="5" applyFont="1" applyFill="1" applyBorder="1" applyAlignment="1">
      <alignment horizontal="left" vertical="center" wrapText="1"/>
    </xf>
    <xf numFmtId="177" fontId="7" fillId="2" borderId="22" xfId="5" applyNumberFormat="1" applyFont="1" applyFill="1" applyBorder="1">
      <alignment vertical="center"/>
    </xf>
    <xf numFmtId="178" fontId="7" fillId="2" borderId="22" xfId="1" applyNumberFormat="1" applyFont="1" applyFill="1" applyBorder="1" applyAlignment="1">
      <alignment vertical="center"/>
    </xf>
    <xf numFmtId="179" fontId="7" fillId="2" borderId="22" xfId="1" applyNumberFormat="1" applyFont="1" applyFill="1" applyBorder="1" applyAlignment="1">
      <alignment vertical="center"/>
    </xf>
    <xf numFmtId="0" fontId="7" fillId="2" borderId="23" xfId="5" applyFont="1" applyFill="1" applyBorder="1" applyAlignment="1">
      <alignment horizontal="left" vertical="center" wrapText="1"/>
    </xf>
    <xf numFmtId="177" fontId="7" fillId="2" borderId="24" xfId="5" applyNumberFormat="1" applyFont="1" applyFill="1" applyBorder="1">
      <alignment vertical="center"/>
    </xf>
    <xf numFmtId="0" fontId="6" fillId="3" borderId="5" xfId="5" applyFont="1" applyFill="1" applyBorder="1" applyAlignment="1">
      <alignment horizontal="left" vertical="center" wrapText="1"/>
    </xf>
    <xf numFmtId="9" fontId="6" fillId="3" borderId="24" xfId="1" applyFont="1" applyFill="1" applyBorder="1" applyAlignment="1">
      <alignment horizontal="center" vertical="center"/>
    </xf>
    <xf numFmtId="0" fontId="7" fillId="2" borderId="5" xfId="5" applyFont="1" applyFill="1" applyBorder="1" applyAlignment="1">
      <alignment horizontal="left" vertical="center" wrapText="1"/>
    </xf>
    <xf numFmtId="177" fontId="7" fillId="2" borderId="7" xfId="5" applyNumberFormat="1" applyFont="1" applyFill="1" applyBorder="1">
      <alignment vertical="center"/>
    </xf>
    <xf numFmtId="0" fontId="7" fillId="2" borderId="25" xfId="5" applyFont="1" applyFill="1" applyBorder="1" applyAlignment="1">
      <alignment horizontal="left" vertical="center" wrapText="1"/>
    </xf>
    <xf numFmtId="0" fontId="6" fillId="3" borderId="26" xfId="5" applyFont="1" applyFill="1" applyBorder="1" applyAlignment="1">
      <alignment horizontal="left" vertical="center" wrapText="1"/>
    </xf>
    <xf numFmtId="177" fontId="6" fillId="3" borderId="27" xfId="5" applyNumberFormat="1" applyFont="1" applyFill="1" applyBorder="1">
      <alignment vertical="center"/>
    </xf>
    <xf numFmtId="177" fontId="6" fillId="3" borderId="28" xfId="5" applyNumberFormat="1" applyFont="1" applyFill="1" applyBorder="1">
      <alignment vertical="center"/>
    </xf>
    <xf numFmtId="0" fontId="11" fillId="3" borderId="2" xfId="5" applyFont="1" applyFill="1" applyBorder="1" applyAlignment="1">
      <alignment horizontal="center" vertical="center"/>
    </xf>
    <xf numFmtId="0" fontId="11" fillId="3" borderId="3" xfId="5" applyFont="1" applyFill="1" applyBorder="1" applyAlignment="1">
      <alignment horizontal="center" vertical="center"/>
    </xf>
    <xf numFmtId="0" fontId="11" fillId="6" borderId="3" xfId="5" applyFont="1" applyFill="1" applyBorder="1" applyAlignment="1">
      <alignment horizontal="center" vertical="center"/>
    </xf>
    <xf numFmtId="0" fontId="11" fillId="6" borderId="4" xfId="5" applyFont="1" applyFill="1" applyBorder="1" applyAlignment="1">
      <alignment horizontal="center" vertical="center"/>
    </xf>
    <xf numFmtId="0" fontId="12" fillId="0" borderId="16" xfId="5" applyFont="1" applyBorder="1" applyAlignment="1">
      <alignment horizontal="center" vertical="center"/>
    </xf>
    <xf numFmtId="0" fontId="12" fillId="3" borderId="8" xfId="5" applyFont="1" applyFill="1" applyBorder="1">
      <alignment vertical="center"/>
    </xf>
    <xf numFmtId="0" fontId="18" fillId="0" borderId="1" xfId="0" applyFont="1" applyBorder="1" applyAlignment="1">
      <alignment horizontal="center" vertical="center"/>
    </xf>
    <xf numFmtId="180" fontId="7" fillId="8" borderId="1" xfId="4" applyNumberFormat="1" applyFont="1" applyFill="1" applyBorder="1" applyAlignment="1">
      <alignment vertical="center" shrinkToFit="1"/>
    </xf>
    <xf numFmtId="176" fontId="7" fillId="8" borderId="1" xfId="6" applyNumberFormat="1" applyFont="1" applyFill="1" applyBorder="1" applyAlignment="1">
      <alignment horizontal="center" vertical="center" shrinkToFit="1"/>
    </xf>
    <xf numFmtId="180" fontId="7" fillId="8" borderId="8" xfId="2" applyNumberFormat="1" applyFont="1" applyFill="1" applyBorder="1" applyAlignment="1">
      <alignment vertical="center" shrinkToFit="1"/>
    </xf>
    <xf numFmtId="176" fontId="7" fillId="8" borderId="8" xfId="6" applyNumberFormat="1" applyFont="1" applyFill="1" applyBorder="1" applyAlignment="1">
      <alignment horizontal="center" vertical="center" shrinkToFit="1"/>
    </xf>
    <xf numFmtId="0" fontId="26" fillId="0" borderId="0" xfId="0" applyFont="1">
      <alignment vertical="center"/>
    </xf>
    <xf numFmtId="41" fontId="20" fillId="0" borderId="0" xfId="3" applyFont="1" applyBorder="1">
      <alignment vertical="center"/>
    </xf>
    <xf numFmtId="181" fontId="24" fillId="0" borderId="0" xfId="7" applyNumberFormat="1" applyFont="1" applyAlignment="1">
      <alignment vertical="center"/>
    </xf>
    <xf numFmtId="0" fontId="24" fillId="0" borderId="0" xfId="7" applyFont="1" applyAlignment="1">
      <alignment vertical="center"/>
    </xf>
    <xf numFmtId="181" fontId="23" fillId="0" borderId="0" xfId="7" applyNumberFormat="1" applyFont="1" applyAlignment="1">
      <alignment horizontal="center" vertical="center"/>
    </xf>
    <xf numFmtId="181" fontId="28" fillId="0" borderId="55" xfId="8" applyNumberFormat="1" applyFont="1" applyBorder="1" applyAlignment="1">
      <alignment horizontal="center" vertical="center"/>
    </xf>
    <xf numFmtId="181" fontId="28" fillId="0" borderId="0" xfId="8" applyNumberFormat="1" applyFont="1" applyAlignment="1">
      <alignment horizontal="center" vertical="center"/>
    </xf>
    <xf numFmtId="0" fontId="28" fillId="0" borderId="0" xfId="8" applyFont="1" applyAlignment="1">
      <alignment horizontal="center" vertical="center"/>
    </xf>
    <xf numFmtId="181" fontId="29" fillId="0" borderId="0" xfId="8" applyNumberFormat="1" applyFont="1" applyAlignment="1">
      <alignment vertical="center"/>
    </xf>
    <xf numFmtId="0" fontId="29" fillId="0" borderId="0" xfId="8" applyFont="1" applyAlignment="1">
      <alignment vertical="center"/>
    </xf>
    <xf numFmtId="181" fontId="30" fillId="0" borderId="0" xfId="8" applyNumberFormat="1" applyFont="1" applyAlignment="1">
      <alignment horizontal="center" vertical="center"/>
    </xf>
    <xf numFmtId="181" fontId="29" fillId="0" borderId="0" xfId="8" applyNumberFormat="1" applyFont="1" applyAlignment="1">
      <alignment horizontal="center" vertical="center"/>
    </xf>
    <xf numFmtId="181" fontId="29" fillId="0" borderId="0" xfId="8" applyNumberFormat="1" applyFont="1" applyAlignment="1">
      <alignment vertical="center" shrinkToFit="1"/>
    </xf>
    <xf numFmtId="181" fontId="29" fillId="0" borderId="0" xfId="7" applyNumberFormat="1" applyFont="1" applyAlignment="1">
      <alignment vertical="center"/>
    </xf>
    <xf numFmtId="0" fontId="29" fillId="0" borderId="0" xfId="7" applyFont="1" applyAlignment="1">
      <alignment vertical="center"/>
    </xf>
    <xf numFmtId="181" fontId="31" fillId="0" borderId="55" xfId="8" applyNumberFormat="1" applyFont="1" applyBorder="1" applyAlignment="1">
      <alignment horizontal="center" vertical="center"/>
    </xf>
    <xf numFmtId="181" fontId="32" fillId="0" borderId="0" xfId="8" quotePrefix="1" applyNumberFormat="1" applyFont="1" applyAlignment="1">
      <alignment horizontal="center" vertical="center"/>
    </xf>
    <xf numFmtId="181" fontId="32" fillId="0" borderId="0" xfId="8" applyNumberFormat="1" applyFont="1" applyAlignment="1">
      <alignment horizontal="center" vertical="center"/>
    </xf>
    <xf numFmtId="181" fontId="32" fillId="0" borderId="0" xfId="7" applyNumberFormat="1" applyFont="1" applyAlignment="1">
      <alignment horizontal="center" vertical="center"/>
    </xf>
    <xf numFmtId="0" fontId="35" fillId="0" borderId="0" xfId="0" applyFont="1">
      <alignment vertical="center"/>
    </xf>
    <xf numFmtId="0" fontId="36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49" fontId="37" fillId="9" borderId="62" xfId="2" applyNumberFormat="1" applyFont="1" applyFill="1" applyBorder="1" applyAlignment="1">
      <alignment horizontal="center" vertical="center"/>
    </xf>
    <xf numFmtId="49" fontId="37" fillId="9" borderId="63" xfId="2" applyNumberFormat="1" applyFont="1" applyFill="1" applyBorder="1" applyAlignment="1">
      <alignment horizontal="center" vertical="center"/>
    </xf>
    <xf numFmtId="49" fontId="37" fillId="9" borderId="64" xfId="2" applyNumberFormat="1" applyFont="1" applyFill="1" applyBorder="1" applyAlignment="1">
      <alignment horizontal="center" vertical="center"/>
    </xf>
    <xf numFmtId="0" fontId="35" fillId="0" borderId="65" xfId="0" applyFont="1" applyBorder="1">
      <alignment vertical="center"/>
    </xf>
    <xf numFmtId="0" fontId="35" fillId="0" borderId="66" xfId="0" applyFont="1" applyBorder="1" applyAlignment="1">
      <alignment horizontal="center" vertical="center"/>
    </xf>
    <xf numFmtId="41" fontId="35" fillId="0" borderId="67" xfId="2" applyFont="1" applyFill="1" applyBorder="1">
      <alignment vertical="center"/>
    </xf>
    <xf numFmtId="41" fontId="35" fillId="0" borderId="68" xfId="2" applyFont="1" applyFill="1" applyBorder="1">
      <alignment vertical="center"/>
    </xf>
    <xf numFmtId="41" fontId="35" fillId="0" borderId="69" xfId="2" applyFont="1" applyFill="1" applyBorder="1">
      <alignment vertical="center"/>
    </xf>
    <xf numFmtId="9" fontId="0" fillId="0" borderId="0" xfId="9" applyFont="1" applyFill="1">
      <alignment vertical="center"/>
    </xf>
    <xf numFmtId="0" fontId="35" fillId="0" borderId="70" xfId="0" applyFont="1" applyBorder="1" applyAlignment="1">
      <alignment horizontal="center" vertical="center"/>
    </xf>
    <xf numFmtId="41" fontId="35" fillId="0" borderId="71" xfId="2" applyFont="1" applyFill="1" applyBorder="1" applyAlignment="1">
      <alignment horizontal="center" vertical="center"/>
    </xf>
    <xf numFmtId="41" fontId="35" fillId="0" borderId="72" xfId="2" applyFont="1" applyFill="1" applyBorder="1" applyAlignment="1">
      <alignment horizontal="center" vertical="center"/>
    </xf>
    <xf numFmtId="41" fontId="35" fillId="0" borderId="73" xfId="2" applyFont="1" applyFill="1" applyBorder="1" applyAlignment="1">
      <alignment horizontal="center" vertical="center"/>
    </xf>
    <xf numFmtId="41" fontId="35" fillId="0" borderId="71" xfId="2" applyFont="1" applyFill="1" applyBorder="1">
      <alignment vertical="center"/>
    </xf>
    <xf numFmtId="41" fontId="35" fillId="0" borderId="72" xfId="2" applyFont="1" applyFill="1" applyBorder="1">
      <alignment vertical="center"/>
    </xf>
    <xf numFmtId="41" fontId="35" fillId="0" borderId="73" xfId="2" applyFont="1" applyFill="1" applyBorder="1">
      <alignment vertical="center"/>
    </xf>
    <xf numFmtId="0" fontId="35" fillId="0" borderId="74" xfId="0" applyFont="1" applyBorder="1" applyAlignment="1">
      <alignment horizontal="center" vertical="center"/>
    </xf>
    <xf numFmtId="41" fontId="35" fillId="0" borderId="75" xfId="2" applyFont="1" applyFill="1" applyBorder="1">
      <alignment vertical="center"/>
    </xf>
    <xf numFmtId="41" fontId="35" fillId="0" borderId="76" xfId="2" applyFont="1" applyFill="1" applyBorder="1">
      <alignment vertical="center"/>
    </xf>
    <xf numFmtId="41" fontId="35" fillId="0" borderId="77" xfId="2" applyFont="1" applyFill="1" applyBorder="1">
      <alignment vertical="center"/>
    </xf>
    <xf numFmtId="184" fontId="0" fillId="0" borderId="0" xfId="0" applyNumberFormat="1">
      <alignment vertical="center"/>
    </xf>
    <xf numFmtId="41" fontId="35" fillId="0" borderId="78" xfId="2" applyFont="1" applyBorder="1">
      <alignment vertical="center"/>
    </xf>
    <xf numFmtId="41" fontId="35" fillId="0" borderId="79" xfId="2" applyFont="1" applyBorder="1">
      <alignment vertical="center"/>
    </xf>
    <xf numFmtId="41" fontId="35" fillId="0" borderId="80" xfId="2" applyFont="1" applyBorder="1">
      <alignment vertical="center"/>
    </xf>
    <xf numFmtId="41" fontId="35" fillId="0" borderId="67" xfId="2" applyFont="1" applyBorder="1">
      <alignment vertical="center"/>
    </xf>
    <xf numFmtId="41" fontId="35" fillId="0" borderId="68" xfId="2" applyFont="1" applyBorder="1">
      <alignment vertical="center"/>
    </xf>
    <xf numFmtId="41" fontId="35" fillId="0" borderId="69" xfId="2" applyFont="1" applyBorder="1">
      <alignment vertical="center"/>
    </xf>
    <xf numFmtId="41" fontId="35" fillId="0" borderId="71" xfId="2" applyFont="1" applyBorder="1" applyAlignment="1">
      <alignment horizontal="center" vertical="center"/>
    </xf>
    <xf numFmtId="41" fontId="35" fillId="0" borderId="72" xfId="2" applyFont="1" applyBorder="1" applyAlignment="1">
      <alignment horizontal="center" vertical="center"/>
    </xf>
    <xf numFmtId="41" fontId="35" fillId="0" borderId="73" xfId="2" applyFont="1" applyBorder="1" applyAlignment="1">
      <alignment horizontal="center" vertical="center"/>
    </xf>
    <xf numFmtId="41" fontId="35" fillId="0" borderId="71" xfId="2" applyFont="1" applyBorder="1">
      <alignment vertical="center"/>
    </xf>
    <xf numFmtId="41" fontId="35" fillId="0" borderId="72" xfId="2" applyFont="1" applyBorder="1">
      <alignment vertical="center"/>
    </xf>
    <xf numFmtId="41" fontId="35" fillId="0" borderId="73" xfId="2" applyFont="1" applyBorder="1">
      <alignment vertical="center"/>
    </xf>
    <xf numFmtId="41" fontId="35" fillId="0" borderId="75" xfId="2" applyFont="1" applyBorder="1">
      <alignment vertical="center"/>
    </xf>
    <xf numFmtId="41" fontId="35" fillId="0" borderId="76" xfId="2" applyFont="1" applyBorder="1">
      <alignment vertical="center"/>
    </xf>
    <xf numFmtId="41" fontId="35" fillId="0" borderId="77" xfId="2" applyFont="1" applyBorder="1">
      <alignment vertical="center"/>
    </xf>
    <xf numFmtId="0" fontId="38" fillId="0" borderId="0" xfId="5" applyFont="1">
      <alignment vertical="center"/>
    </xf>
    <xf numFmtId="0" fontId="38" fillId="0" borderId="0" xfId="5" applyFont="1" applyAlignment="1">
      <alignment horizontal="right" vertical="center"/>
    </xf>
    <xf numFmtId="0" fontId="40" fillId="9" borderId="1" xfId="5" applyFont="1" applyFill="1" applyBorder="1" applyAlignment="1">
      <alignment horizontal="center" vertical="center"/>
    </xf>
    <xf numFmtId="0" fontId="38" fillId="0" borderId="1" xfId="5" applyFont="1" applyBorder="1">
      <alignment vertical="center"/>
    </xf>
    <xf numFmtId="176" fontId="38" fillId="0" borderId="1" xfId="5" applyNumberFormat="1" applyFont="1" applyBorder="1">
      <alignment vertical="center"/>
    </xf>
    <xf numFmtId="176" fontId="38" fillId="4" borderId="1" xfId="5" applyNumberFormat="1" applyFont="1" applyFill="1" applyBorder="1">
      <alignment vertical="center"/>
    </xf>
    <xf numFmtId="176" fontId="38" fillId="5" borderId="1" xfId="5" applyNumberFormat="1" applyFont="1" applyFill="1" applyBorder="1">
      <alignment vertical="center"/>
    </xf>
    <xf numFmtId="0" fontId="42" fillId="0" borderId="9" xfId="5" applyFont="1" applyBorder="1">
      <alignment vertical="center"/>
    </xf>
    <xf numFmtId="0" fontId="43" fillId="0" borderId="0" xfId="5" applyFont="1">
      <alignment vertical="center"/>
    </xf>
    <xf numFmtId="0" fontId="40" fillId="9" borderId="1" xfId="5" applyFont="1" applyFill="1" applyBorder="1" applyAlignment="1">
      <alignment horizontal="center" vertical="center" wrapText="1"/>
    </xf>
    <xf numFmtId="0" fontId="38" fillId="0" borderId="1" xfId="5" applyFont="1" applyBorder="1" applyAlignment="1">
      <alignment horizontal="center" vertical="center"/>
    </xf>
    <xf numFmtId="0" fontId="44" fillId="0" borderId="0" xfId="5" applyFont="1">
      <alignment vertical="center"/>
    </xf>
    <xf numFmtId="0" fontId="25" fillId="9" borderId="2" xfId="5" applyFont="1" applyFill="1" applyBorder="1" applyAlignment="1">
      <alignment horizontal="center" vertical="center"/>
    </xf>
    <xf numFmtId="0" fontId="25" fillId="9" borderId="3" xfId="5" applyFont="1" applyFill="1" applyBorder="1" applyAlignment="1">
      <alignment horizontal="center" vertical="center"/>
    </xf>
    <xf numFmtId="0" fontId="25" fillId="9" borderId="4" xfId="5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6" fillId="9" borderId="3" xfId="6" applyFont="1" applyFill="1" applyBorder="1" applyAlignment="1">
      <alignment horizontal="center" vertical="center" shrinkToFit="1"/>
    </xf>
    <xf numFmtId="181" fontId="32" fillId="8" borderId="0" xfId="8" applyNumberFormat="1" applyFont="1" applyFill="1" applyAlignment="1">
      <alignment horizontal="center" vertical="center"/>
    </xf>
    <xf numFmtId="181" fontId="29" fillId="8" borderId="0" xfId="8" applyNumberFormat="1" applyFont="1" applyFill="1" applyAlignment="1">
      <alignment vertical="center"/>
    </xf>
    <xf numFmtId="181" fontId="29" fillId="8" borderId="0" xfId="8" applyNumberFormat="1" applyFont="1" applyFill="1" applyAlignment="1">
      <alignment horizontal="center" vertical="center"/>
    </xf>
    <xf numFmtId="0" fontId="29" fillId="8" borderId="0" xfId="8" applyFont="1" applyFill="1" applyAlignment="1">
      <alignment vertical="center"/>
    </xf>
    <xf numFmtId="181" fontId="32" fillId="8" borderId="0" xfId="8" quotePrefix="1" applyNumberFormat="1" applyFont="1" applyFill="1" applyAlignment="1">
      <alignment horizontal="center" vertical="center"/>
    </xf>
    <xf numFmtId="181" fontId="30" fillId="8" borderId="0" xfId="8" applyNumberFormat="1" applyFont="1" applyFill="1" applyAlignment="1">
      <alignment horizontal="center" vertical="center"/>
    </xf>
    <xf numFmtId="181" fontId="28" fillId="8" borderId="0" xfId="8" applyNumberFormat="1" applyFont="1" applyFill="1" applyAlignment="1">
      <alignment vertical="center"/>
    </xf>
    <xf numFmtId="0" fontId="20" fillId="0" borderId="65" xfId="5" applyFont="1" applyBorder="1">
      <alignment vertical="center"/>
    </xf>
    <xf numFmtId="185" fontId="20" fillId="0" borderId="1" xfId="3" applyNumberFormat="1" applyFont="1" applyBorder="1">
      <alignment vertical="center"/>
    </xf>
    <xf numFmtId="185" fontId="20" fillId="0" borderId="46" xfId="3" applyNumberFormat="1" applyFont="1" applyBorder="1">
      <alignment vertical="center"/>
    </xf>
    <xf numFmtId="185" fontId="20" fillId="0" borderId="7" xfId="5" applyNumberFormat="1" applyFont="1" applyBorder="1">
      <alignment vertical="center"/>
    </xf>
    <xf numFmtId="185" fontId="20" fillId="0" borderId="8" xfId="3" applyNumberFormat="1" applyFont="1" applyBorder="1">
      <alignment vertical="center"/>
    </xf>
    <xf numFmtId="185" fontId="20" fillId="0" borderId="54" xfId="3" applyNumberFormat="1" applyFont="1" applyBorder="1">
      <alignment vertical="center"/>
    </xf>
    <xf numFmtId="185" fontId="20" fillId="0" borderId="15" xfId="5" applyNumberFormat="1" applyFont="1" applyBorder="1">
      <alignment vertical="center"/>
    </xf>
    <xf numFmtId="0" fontId="20" fillId="0" borderId="83" xfId="5" applyFont="1" applyBorder="1">
      <alignment vertical="center"/>
    </xf>
    <xf numFmtId="0" fontId="20" fillId="0" borderId="84" xfId="5" applyFont="1" applyBorder="1">
      <alignment vertical="center"/>
    </xf>
    <xf numFmtId="41" fontId="20" fillId="0" borderId="84" xfId="3" applyFont="1" applyBorder="1">
      <alignment vertical="center"/>
    </xf>
    <xf numFmtId="41" fontId="20" fillId="0" borderId="85" xfId="3" applyFont="1" applyBorder="1">
      <alignment vertical="center"/>
    </xf>
    <xf numFmtId="0" fontId="20" fillId="0" borderId="21" xfId="5" applyFont="1" applyBorder="1">
      <alignment vertical="center"/>
    </xf>
    <xf numFmtId="0" fontId="20" fillId="0" borderId="86" xfId="5" applyFont="1" applyBorder="1">
      <alignment vertical="center"/>
    </xf>
    <xf numFmtId="0" fontId="20" fillId="0" borderId="0" xfId="3" applyNumberFormat="1" applyFont="1" applyBorder="1">
      <alignment vertical="center"/>
    </xf>
    <xf numFmtId="0" fontId="20" fillId="0" borderId="87" xfId="5" applyFont="1" applyBorder="1">
      <alignment vertical="center"/>
    </xf>
    <xf numFmtId="0" fontId="20" fillId="0" borderId="88" xfId="3" applyNumberFormat="1" applyFont="1" applyBorder="1">
      <alignment vertical="center"/>
    </xf>
    <xf numFmtId="41" fontId="20" fillId="0" borderId="88" xfId="3" applyFont="1" applyBorder="1">
      <alignment vertical="center"/>
    </xf>
    <xf numFmtId="0" fontId="20" fillId="0" borderId="89" xfId="5" applyFont="1" applyBorder="1">
      <alignment vertical="center"/>
    </xf>
    <xf numFmtId="185" fontId="12" fillId="0" borderId="1" xfId="3" applyNumberFormat="1" applyFont="1" applyBorder="1">
      <alignment vertical="center"/>
    </xf>
    <xf numFmtId="185" fontId="11" fillId="0" borderId="1" xfId="5" applyNumberFormat="1" applyFont="1" applyBorder="1" applyAlignment="1">
      <alignment horizontal="center" vertical="center"/>
    </xf>
    <xf numFmtId="185" fontId="12" fillId="0" borderId="1" xfId="5" applyNumberFormat="1" applyFont="1" applyBorder="1" applyAlignment="1">
      <alignment horizontal="right" vertical="top" wrapText="1"/>
    </xf>
    <xf numFmtId="185" fontId="12" fillId="0" borderId="8" xfId="5" applyNumberFormat="1" applyFont="1" applyBorder="1" applyAlignment="1">
      <alignment horizontal="right" vertical="top" wrapText="1"/>
    </xf>
    <xf numFmtId="186" fontId="12" fillId="0" borderId="12" xfId="5" applyNumberFormat="1" applyFont="1" applyBorder="1" applyAlignment="1">
      <alignment horizontal="right" vertical="top" wrapText="1"/>
    </xf>
    <xf numFmtId="186" fontId="12" fillId="0" borderId="30" xfId="5" applyNumberFormat="1" applyFont="1" applyBorder="1" applyAlignment="1">
      <alignment horizontal="right" vertical="top" wrapText="1"/>
    </xf>
    <xf numFmtId="186" fontId="12" fillId="0" borderId="13" xfId="5" applyNumberFormat="1" applyFont="1" applyBorder="1" applyAlignment="1">
      <alignment horizontal="right" vertical="top" wrapText="1"/>
    </xf>
    <xf numFmtId="186" fontId="12" fillId="0" borderId="32" xfId="5" applyNumberFormat="1" applyFont="1" applyBorder="1" applyAlignment="1">
      <alignment horizontal="right" vertical="top" wrapText="1"/>
    </xf>
    <xf numFmtId="186" fontId="12" fillId="0" borderId="14" xfId="5" applyNumberFormat="1" applyFont="1" applyBorder="1" applyAlignment="1">
      <alignment horizontal="right" vertical="top" wrapText="1"/>
    </xf>
    <xf numFmtId="186" fontId="12" fillId="0" borderId="34" xfId="5" applyNumberFormat="1" applyFont="1" applyBorder="1" applyAlignment="1">
      <alignment horizontal="right" vertical="top" wrapText="1"/>
    </xf>
    <xf numFmtId="186" fontId="12" fillId="0" borderId="8" xfId="5" applyNumberFormat="1" applyFont="1" applyBorder="1">
      <alignment vertical="center"/>
    </xf>
    <xf numFmtId="186" fontId="12" fillId="0" borderId="15" xfId="5" applyNumberFormat="1" applyFont="1" applyBorder="1">
      <alignment vertical="center"/>
    </xf>
    <xf numFmtId="185" fontId="20" fillId="8" borderId="1" xfId="3" applyNumberFormat="1" applyFont="1" applyFill="1" applyBorder="1">
      <alignment vertical="center"/>
    </xf>
    <xf numFmtId="185" fontId="20" fillId="8" borderId="46" xfId="3" applyNumberFormat="1" applyFont="1" applyFill="1" applyBorder="1">
      <alignment vertical="center"/>
    </xf>
    <xf numFmtId="185" fontId="20" fillId="8" borderId="7" xfId="5" applyNumberFormat="1" applyFont="1" applyFill="1" applyBorder="1">
      <alignment vertical="center"/>
    </xf>
    <xf numFmtId="176" fontId="38" fillId="8" borderId="1" xfId="5" applyNumberFormat="1" applyFont="1" applyFill="1" applyBorder="1">
      <alignment vertical="center"/>
    </xf>
    <xf numFmtId="0" fontId="38" fillId="8" borderId="1" xfId="5" applyFont="1" applyFill="1" applyBorder="1" applyAlignment="1">
      <alignment horizontal="center" vertical="center"/>
    </xf>
    <xf numFmtId="182" fontId="35" fillId="8" borderId="65" xfId="2" applyNumberFormat="1" applyFont="1" applyFill="1" applyBorder="1">
      <alignment vertical="center"/>
    </xf>
    <xf numFmtId="183" fontId="35" fillId="8" borderId="65" xfId="2" applyNumberFormat="1" applyFont="1" applyFill="1" applyBorder="1">
      <alignment vertical="center"/>
    </xf>
    <xf numFmtId="41" fontId="18" fillId="0" borderId="1" xfId="2" applyFont="1" applyBorder="1">
      <alignment vertical="center"/>
    </xf>
    <xf numFmtId="41" fontId="18" fillId="0" borderId="8" xfId="0" applyNumberFormat="1" applyFont="1" applyBorder="1">
      <alignment vertical="center"/>
    </xf>
    <xf numFmtId="10" fontId="18" fillId="0" borderId="1" xfId="0" applyNumberFormat="1" applyFont="1" applyBorder="1">
      <alignment vertical="center"/>
    </xf>
    <xf numFmtId="0" fontId="46" fillId="0" borderId="6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47" fillId="0" borderId="0" xfId="0" applyFont="1">
      <alignment vertical="center"/>
    </xf>
    <xf numFmtId="0" fontId="47" fillId="0" borderId="1" xfId="0" applyFont="1" applyBorder="1" applyAlignment="1">
      <alignment horizontal="center" vertical="center"/>
    </xf>
    <xf numFmtId="0" fontId="47" fillId="0" borderId="65" xfId="0" applyFont="1" applyBorder="1" applyAlignment="1">
      <alignment horizontal="center" vertical="center"/>
    </xf>
    <xf numFmtId="0" fontId="48" fillId="0" borderId="92" xfId="0" applyFont="1" applyBorder="1" applyAlignment="1">
      <alignment horizontal="center" vertical="center" wrapText="1"/>
    </xf>
    <xf numFmtId="0" fontId="48" fillId="0" borderId="93" xfId="0" applyFont="1" applyBorder="1" applyAlignment="1">
      <alignment horizontal="center" vertical="center" wrapText="1"/>
    </xf>
    <xf numFmtId="0" fontId="48" fillId="0" borderId="65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/>
    </xf>
    <xf numFmtId="41" fontId="47" fillId="0" borderId="1" xfId="2" applyFont="1" applyBorder="1">
      <alignment vertical="center"/>
    </xf>
    <xf numFmtId="41" fontId="47" fillId="0" borderId="10" xfId="2" applyFont="1" applyBorder="1">
      <alignment vertical="center"/>
    </xf>
    <xf numFmtId="41" fontId="47" fillId="0" borderId="65" xfId="2" applyFont="1" applyBorder="1">
      <alignment vertical="center"/>
    </xf>
    <xf numFmtId="0" fontId="18" fillId="0" borderId="65" xfId="0" applyFont="1" applyBorder="1">
      <alignment vertical="center"/>
    </xf>
    <xf numFmtId="0" fontId="12" fillId="0" borderId="29" xfId="5" applyFont="1" applyBorder="1" applyAlignment="1">
      <alignment horizontal="center" vertical="center" wrapText="1"/>
    </xf>
    <xf numFmtId="186" fontId="12" fillId="0" borderId="95" xfId="5" applyNumberFormat="1" applyFont="1" applyBorder="1" applyAlignment="1">
      <alignment horizontal="right" vertical="top" wrapText="1"/>
    </xf>
    <xf numFmtId="186" fontId="12" fillId="0" borderId="96" xfId="5" applyNumberFormat="1" applyFont="1" applyBorder="1" applyAlignment="1">
      <alignment horizontal="right" vertical="top" wrapText="1"/>
    </xf>
    <xf numFmtId="186" fontId="12" fillId="0" borderId="98" xfId="5" applyNumberFormat="1" applyFont="1" applyBorder="1" applyAlignment="1">
      <alignment horizontal="right" vertical="top" wrapText="1"/>
    </xf>
    <xf numFmtId="186" fontId="12" fillId="0" borderId="99" xfId="5" applyNumberFormat="1" applyFont="1" applyBorder="1" applyAlignment="1">
      <alignment horizontal="right" vertical="top" wrapText="1"/>
    </xf>
    <xf numFmtId="0" fontId="12" fillId="0" borderId="31" xfId="5" applyFont="1" applyBorder="1" applyAlignment="1">
      <alignment horizontal="center" vertical="top" wrapText="1"/>
    </xf>
    <xf numFmtId="0" fontId="12" fillId="0" borderId="94" xfId="5" applyFont="1" applyBorder="1" applyAlignment="1">
      <alignment horizontal="center" vertical="top" wrapText="1"/>
    </xf>
    <xf numFmtId="0" fontId="12" fillId="0" borderId="97" xfId="5" applyFont="1" applyBorder="1" applyAlignment="1">
      <alignment horizontal="center" vertical="top" wrapText="1"/>
    </xf>
    <xf numFmtId="0" fontId="12" fillId="0" borderId="33" xfId="5" applyFont="1" applyBorder="1" applyAlignment="1">
      <alignment horizontal="center" vertical="top" wrapText="1"/>
    </xf>
    <xf numFmtId="0" fontId="18" fillId="0" borderId="100" xfId="0" applyFont="1" applyBorder="1">
      <alignment vertical="center"/>
    </xf>
    <xf numFmtId="41" fontId="18" fillId="0" borderId="100" xfId="2" applyFont="1" applyBorder="1">
      <alignment vertical="center"/>
    </xf>
    <xf numFmtId="185" fontId="12" fillId="0" borderId="1" xfId="5" applyNumberFormat="1" applyFont="1" applyBorder="1" applyAlignment="1">
      <alignment horizontal="right" vertical="center"/>
    </xf>
    <xf numFmtId="185" fontId="12" fillId="0" borderId="7" xfId="5" applyNumberFormat="1" applyFont="1" applyBorder="1" applyAlignment="1">
      <alignment horizontal="right" vertical="center"/>
    </xf>
    <xf numFmtId="0" fontId="38" fillId="8" borderId="100" xfId="5" applyFont="1" applyFill="1" applyBorder="1" applyAlignment="1">
      <alignment horizontal="center" vertical="center"/>
    </xf>
    <xf numFmtId="176" fontId="38" fillId="8" borderId="100" xfId="5" applyNumberFormat="1" applyFont="1" applyFill="1" applyBorder="1">
      <alignment vertical="center"/>
    </xf>
    <xf numFmtId="49" fontId="38" fillId="8" borderId="1" xfId="5" applyNumberFormat="1" applyFont="1" applyFill="1" applyBorder="1" applyAlignment="1">
      <alignment horizontal="center" vertical="center"/>
    </xf>
    <xf numFmtId="49" fontId="38" fillId="8" borderId="100" xfId="5" applyNumberFormat="1" applyFont="1" applyFill="1" applyBorder="1" applyAlignment="1">
      <alignment horizontal="center" vertical="center"/>
    </xf>
    <xf numFmtId="0" fontId="50" fillId="0" borderId="0" xfId="5" applyFont="1" applyAlignment="1">
      <alignment horizontal="left" vertical="center" wrapText="1"/>
    </xf>
    <xf numFmtId="181" fontId="28" fillId="0" borderId="55" xfId="8" applyNumberFormat="1" applyFont="1" applyBorder="1" applyAlignment="1">
      <alignment horizontal="center" vertical="center"/>
    </xf>
    <xf numFmtId="0" fontId="18" fillId="0" borderId="65" xfId="0" quotePrefix="1" applyFont="1" applyBorder="1" applyAlignment="1">
      <alignment horizontal="left" vertical="center" wrapText="1"/>
    </xf>
    <xf numFmtId="0" fontId="18" fillId="0" borderId="65" xfId="0" applyFont="1" applyBorder="1" applyAlignment="1">
      <alignment horizontal="left" vertical="center"/>
    </xf>
    <xf numFmtId="0" fontId="47" fillId="0" borderId="10" xfId="0" quotePrefix="1" applyFont="1" applyBorder="1" applyAlignment="1">
      <alignment horizontal="left" vertical="center" wrapText="1"/>
    </xf>
    <xf numFmtId="0" fontId="47" fillId="0" borderId="10" xfId="0" applyFont="1" applyBorder="1" applyAlignment="1">
      <alignment horizontal="left" vertical="center"/>
    </xf>
    <xf numFmtId="0" fontId="47" fillId="0" borderId="65" xfId="0" quotePrefix="1" applyFont="1" applyBorder="1" applyAlignment="1">
      <alignment horizontal="left" vertical="center" wrapText="1"/>
    </xf>
    <xf numFmtId="0" fontId="47" fillId="0" borderId="65" xfId="0" applyFont="1" applyBorder="1" applyAlignment="1">
      <alignment horizontal="left" vertical="center"/>
    </xf>
    <xf numFmtId="0" fontId="17" fillId="9" borderId="1" xfId="0" applyFont="1" applyFill="1" applyBorder="1" applyAlignment="1">
      <alignment horizontal="center" vertical="center" shrinkToFit="1"/>
    </xf>
    <xf numFmtId="0" fontId="45" fillId="0" borderId="1" xfId="0" applyFont="1" applyBorder="1" applyAlignment="1">
      <alignment horizontal="left" vertical="center" shrinkToFit="1"/>
    </xf>
    <xf numFmtId="0" fontId="46" fillId="0" borderId="0" xfId="0" applyFont="1">
      <alignment vertical="center"/>
    </xf>
    <xf numFmtId="0" fontId="49" fillId="2" borderId="46" xfId="0" applyFont="1" applyFill="1" applyBorder="1" applyAlignment="1">
      <alignment horizontal="center" vertical="center" shrinkToFit="1"/>
    </xf>
    <xf numFmtId="0" fontId="49" fillId="2" borderId="47" xfId="0" applyFont="1" applyFill="1" applyBorder="1" applyAlignment="1">
      <alignment horizontal="center" vertical="center" shrinkToFit="1"/>
    </xf>
    <xf numFmtId="14" fontId="7" fillId="2" borderId="46" xfId="6" applyNumberFormat="1" applyFont="1" applyFill="1" applyBorder="1" applyAlignment="1">
      <alignment horizontal="center" vertical="center" shrinkToFit="1"/>
    </xf>
    <xf numFmtId="14" fontId="7" fillId="2" borderId="47" xfId="6" applyNumberFormat="1" applyFont="1" applyFill="1" applyBorder="1" applyAlignment="1">
      <alignment horizontal="center" vertical="center" shrinkToFit="1"/>
    </xf>
    <xf numFmtId="176" fontId="7" fillId="2" borderId="46" xfId="6" applyNumberFormat="1" applyFont="1" applyFill="1" applyBorder="1" applyAlignment="1">
      <alignment horizontal="center" vertical="center" shrinkToFit="1"/>
    </xf>
    <xf numFmtId="176" fontId="7" fillId="2" borderId="36" xfId="6" applyNumberFormat="1" applyFont="1" applyFill="1" applyBorder="1" applyAlignment="1">
      <alignment horizontal="center" vertical="center" shrinkToFit="1"/>
    </xf>
    <xf numFmtId="0" fontId="7" fillId="2" borderId="50" xfId="6" applyFont="1" applyFill="1" applyBorder="1" applyAlignment="1">
      <alignment horizontal="left" vertical="center" shrinkToFit="1"/>
    </xf>
    <xf numFmtId="0" fontId="7" fillId="2" borderId="35" xfId="6" applyFont="1" applyFill="1" applyBorder="1" applyAlignment="1">
      <alignment horizontal="left" vertical="center" shrinkToFit="1"/>
    </xf>
    <xf numFmtId="0" fontId="7" fillId="2" borderId="47" xfId="6" applyFont="1" applyFill="1" applyBorder="1" applyAlignment="1">
      <alignment horizontal="left" vertical="center" shrinkToFit="1"/>
    </xf>
    <xf numFmtId="14" fontId="7" fillId="2" borderId="1" xfId="6" applyNumberFormat="1" applyFont="1" applyFill="1" applyBorder="1" applyAlignment="1">
      <alignment horizontal="center" vertical="center" shrinkToFit="1"/>
    </xf>
    <xf numFmtId="176" fontId="7" fillId="2" borderId="1" xfId="6" applyNumberFormat="1" applyFont="1" applyFill="1" applyBorder="1" applyAlignment="1">
      <alignment horizontal="center" vertical="center" shrinkToFit="1"/>
    </xf>
    <xf numFmtId="176" fontId="7" fillId="2" borderId="7" xfId="6" applyNumberFormat="1" applyFont="1" applyFill="1" applyBorder="1" applyAlignment="1">
      <alignment horizontal="center" vertical="center" shrinkToFit="1"/>
    </xf>
    <xf numFmtId="0" fontId="7" fillId="8" borderId="50" xfId="6" applyFont="1" applyFill="1" applyBorder="1" applyAlignment="1">
      <alignment horizontal="center" vertical="center" shrinkToFit="1"/>
    </xf>
    <xf numFmtId="0" fontId="7" fillId="8" borderId="35" xfId="6" applyFont="1" applyFill="1" applyBorder="1" applyAlignment="1">
      <alignment horizontal="center" vertical="center" shrinkToFit="1"/>
    </xf>
    <xf numFmtId="0" fontId="7" fillId="8" borderId="47" xfId="6" applyFont="1" applyFill="1" applyBorder="1" applyAlignment="1">
      <alignment horizontal="center" vertical="center" shrinkToFit="1"/>
    </xf>
    <xf numFmtId="176" fontId="7" fillId="8" borderId="46" xfId="6" applyNumberFormat="1" applyFont="1" applyFill="1" applyBorder="1" applyAlignment="1">
      <alignment horizontal="center" vertical="center" shrinkToFit="1"/>
    </xf>
    <xf numFmtId="176" fontId="7" fillId="8" borderId="47" xfId="6" applyNumberFormat="1" applyFont="1" applyFill="1" applyBorder="1" applyAlignment="1">
      <alignment horizontal="center" vertical="center" shrinkToFit="1"/>
    </xf>
    <xf numFmtId="176" fontId="7" fillId="8" borderId="36" xfId="6" applyNumberFormat="1" applyFont="1" applyFill="1" applyBorder="1" applyAlignment="1">
      <alignment horizontal="center" vertical="center" shrinkToFit="1"/>
    </xf>
    <xf numFmtId="0" fontId="7" fillId="8" borderId="16" xfId="6" applyFont="1" applyFill="1" applyBorder="1" applyAlignment="1">
      <alignment horizontal="center" vertical="center" shrinkToFit="1"/>
    </xf>
    <xf numFmtId="0" fontId="7" fillId="8" borderId="8" xfId="6" applyFont="1" applyFill="1" applyBorder="1" applyAlignment="1">
      <alignment horizontal="center" vertical="center" shrinkToFit="1"/>
    </xf>
    <xf numFmtId="176" fontId="7" fillId="8" borderId="8" xfId="6" applyNumberFormat="1" applyFont="1" applyFill="1" applyBorder="1" applyAlignment="1">
      <alignment horizontal="center" vertical="center" shrinkToFit="1"/>
    </xf>
    <xf numFmtId="176" fontId="7" fillId="8" borderId="15" xfId="6" applyNumberFormat="1" applyFont="1" applyFill="1" applyBorder="1" applyAlignment="1">
      <alignment horizontal="center" vertical="center" shrinkToFit="1"/>
    </xf>
    <xf numFmtId="10" fontId="7" fillId="2" borderId="50" xfId="6" applyNumberFormat="1" applyFont="1" applyFill="1" applyBorder="1" applyAlignment="1">
      <alignment horizontal="left" vertical="center" shrinkToFit="1"/>
    </xf>
    <xf numFmtId="10" fontId="7" fillId="2" borderId="35" xfId="6" applyNumberFormat="1" applyFont="1" applyFill="1" applyBorder="1" applyAlignment="1">
      <alignment horizontal="left" vertical="center" shrinkToFit="1"/>
    </xf>
    <xf numFmtId="10" fontId="7" fillId="2" borderId="47" xfId="6" applyNumberFormat="1" applyFont="1" applyFill="1" applyBorder="1" applyAlignment="1">
      <alignment horizontal="left" vertical="center" shrinkToFit="1"/>
    </xf>
    <xf numFmtId="0" fontId="6" fillId="9" borderId="2" xfId="6" applyFont="1" applyFill="1" applyBorder="1" applyAlignment="1">
      <alignment horizontal="center" vertical="center" shrinkToFit="1"/>
    </xf>
    <xf numFmtId="0" fontId="6" fillId="9" borderId="3" xfId="6" applyFont="1" applyFill="1" applyBorder="1" applyAlignment="1">
      <alignment horizontal="center" vertical="center" shrinkToFit="1"/>
    </xf>
    <xf numFmtId="0" fontId="6" fillId="9" borderId="48" xfId="6" applyFont="1" applyFill="1" applyBorder="1" applyAlignment="1">
      <alignment horizontal="center" vertical="center" shrinkToFit="1"/>
    </xf>
    <xf numFmtId="0" fontId="6" fillId="9" borderId="49" xfId="6" applyFont="1" applyFill="1" applyBorder="1" applyAlignment="1">
      <alignment horizontal="center" vertical="center" shrinkToFit="1"/>
    </xf>
    <xf numFmtId="0" fontId="6" fillId="9" borderId="38" xfId="6" applyFont="1" applyFill="1" applyBorder="1" applyAlignment="1">
      <alignment horizontal="center" vertical="center" shrinkToFit="1"/>
    </xf>
    <xf numFmtId="0" fontId="18" fillId="0" borderId="1" xfId="0" quotePrefix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8" fillId="0" borderId="46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47" fillId="0" borderId="1" xfId="0" quotePrefix="1" applyFont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/>
    </xf>
    <xf numFmtId="0" fontId="17" fillId="9" borderId="1" xfId="0" applyFont="1" applyFill="1" applyBorder="1" applyAlignment="1">
      <alignment horizontal="center" vertical="center" wrapText="1"/>
    </xf>
    <xf numFmtId="0" fontId="17" fillId="9" borderId="37" xfId="0" applyFon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6" xfId="0" applyFont="1" applyBorder="1" applyAlignment="1">
      <alignment horizontal="center" vertical="center"/>
    </xf>
    <xf numFmtId="0" fontId="18" fillId="0" borderId="91" xfId="0" applyFont="1" applyBorder="1" applyAlignment="1">
      <alignment horizontal="center" vertical="center"/>
    </xf>
    <xf numFmtId="0" fontId="18" fillId="0" borderId="88" xfId="0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/>
    </xf>
    <xf numFmtId="0" fontId="17" fillId="9" borderId="6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shrinkToFit="1"/>
    </xf>
    <xf numFmtId="0" fontId="6" fillId="9" borderId="46" xfId="0" applyFont="1" applyFill="1" applyBorder="1" applyAlignment="1">
      <alignment horizontal="center" vertical="center" shrinkToFit="1"/>
    </xf>
    <xf numFmtId="0" fontId="7" fillId="9" borderId="47" xfId="0" applyFont="1" applyFill="1" applyBorder="1" applyAlignment="1">
      <alignment horizontal="center" vertical="center" shrinkToFit="1"/>
    </xf>
    <xf numFmtId="0" fontId="6" fillId="9" borderId="47" xfId="0" applyFont="1" applyFill="1" applyBorder="1" applyAlignment="1">
      <alignment horizontal="center" vertical="center" shrinkToFit="1"/>
    </xf>
    <xf numFmtId="0" fontId="17" fillId="9" borderId="11" xfId="0" applyFont="1" applyFill="1" applyBorder="1" applyAlignment="1">
      <alignment horizontal="center" vertical="center"/>
    </xf>
    <xf numFmtId="0" fontId="49" fillId="0" borderId="46" xfId="0" applyFont="1" applyBorder="1" applyAlignment="1">
      <alignment horizontal="center" vertical="center" shrinkToFit="1"/>
    </xf>
    <xf numFmtId="0" fontId="49" fillId="0" borderId="47" xfId="0" applyFont="1" applyBorder="1" applyAlignment="1">
      <alignment horizontal="center" vertical="center" shrinkToFit="1"/>
    </xf>
    <xf numFmtId="41" fontId="49" fillId="0" borderId="1" xfId="2" applyFont="1" applyFill="1" applyBorder="1" applyAlignment="1">
      <alignment horizontal="right" vertical="center" shrinkToFit="1"/>
    </xf>
    <xf numFmtId="10" fontId="49" fillId="0" borderId="46" xfId="0" applyNumberFormat="1" applyFont="1" applyBorder="1" applyAlignment="1">
      <alignment horizontal="center" vertical="center" shrinkToFit="1"/>
    </xf>
    <xf numFmtId="10" fontId="49" fillId="0" borderId="47" xfId="0" applyNumberFormat="1" applyFont="1" applyBorder="1" applyAlignment="1">
      <alignment horizontal="center" vertical="center" shrinkToFit="1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8" fillId="0" borderId="10" xfId="0" quotePrefix="1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/>
    </xf>
    <xf numFmtId="0" fontId="17" fillId="9" borderId="45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41" fontId="7" fillId="0" borderId="1" xfId="2" applyFont="1" applyFill="1" applyBorder="1" applyAlignment="1">
      <alignment horizontal="right" vertical="center" shrinkToFit="1"/>
    </xf>
    <xf numFmtId="10" fontId="7" fillId="0" borderId="46" xfId="0" applyNumberFormat="1" applyFont="1" applyBorder="1" applyAlignment="1">
      <alignment horizontal="center" vertical="center" shrinkToFit="1"/>
    </xf>
    <xf numFmtId="10" fontId="7" fillId="0" borderId="47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41" fontId="49" fillId="0" borderId="46" xfId="2" applyFont="1" applyFill="1" applyBorder="1" applyAlignment="1">
      <alignment horizontal="center" vertical="center" shrinkToFit="1"/>
    </xf>
    <xf numFmtId="41" fontId="49" fillId="0" borderId="47" xfId="2" applyFont="1" applyFill="1" applyBorder="1" applyAlignment="1">
      <alignment horizontal="center" vertical="center" shrinkToFit="1"/>
    </xf>
    <xf numFmtId="0" fontId="52" fillId="7" borderId="65" xfId="0" applyFont="1" applyFill="1" applyBorder="1" applyAlignment="1">
      <alignment horizontal="left" vertical="center" wrapText="1"/>
    </xf>
    <xf numFmtId="0" fontId="52" fillId="7" borderId="40" xfId="0" applyFont="1" applyFill="1" applyBorder="1" applyAlignment="1">
      <alignment horizontal="left" vertical="center" wrapText="1"/>
    </xf>
    <xf numFmtId="0" fontId="52" fillId="7" borderId="0" xfId="0" applyFont="1" applyFill="1" applyAlignment="1">
      <alignment horizontal="left" vertical="center" wrapText="1"/>
    </xf>
    <xf numFmtId="0" fontId="52" fillId="7" borderId="0" xfId="5" applyFont="1" applyFill="1" applyAlignment="1">
      <alignment horizontal="left" vertical="center" wrapText="1"/>
    </xf>
    <xf numFmtId="0" fontId="52" fillId="7" borderId="0" xfId="5" applyFont="1" applyFill="1" applyAlignment="1">
      <alignment horizontal="left" vertical="center"/>
    </xf>
    <xf numFmtId="0" fontId="35" fillId="9" borderId="81" xfId="0" applyFont="1" applyFill="1" applyBorder="1" applyAlignment="1">
      <alignment horizontal="center" vertical="center"/>
    </xf>
    <xf numFmtId="0" fontId="35" fillId="9" borderId="82" xfId="0" applyFont="1" applyFill="1" applyBorder="1" applyAlignment="1">
      <alignment horizontal="center" vertical="center"/>
    </xf>
    <xf numFmtId="0" fontId="37" fillId="9" borderId="56" xfId="0" applyFont="1" applyFill="1" applyBorder="1" applyAlignment="1">
      <alignment horizontal="center" vertical="center"/>
    </xf>
    <xf numFmtId="0" fontId="37" fillId="9" borderId="57" xfId="0" applyFont="1" applyFill="1" applyBorder="1" applyAlignment="1">
      <alignment horizontal="center" vertical="center"/>
    </xf>
    <xf numFmtId="0" fontId="37" fillId="9" borderId="58" xfId="0" applyFont="1" applyFill="1" applyBorder="1" applyAlignment="1">
      <alignment horizontal="center" vertical="center"/>
    </xf>
    <xf numFmtId="0" fontId="37" fillId="9" borderId="59" xfId="0" applyFont="1" applyFill="1" applyBorder="1" applyAlignment="1">
      <alignment horizontal="center" vertical="center"/>
    </xf>
    <xf numFmtId="0" fontId="37" fillId="9" borderId="60" xfId="0" applyFont="1" applyFill="1" applyBorder="1" applyAlignment="1">
      <alignment horizontal="center" vertical="center"/>
    </xf>
    <xf numFmtId="0" fontId="37" fillId="9" borderId="61" xfId="0" applyFont="1" applyFill="1" applyBorder="1" applyAlignment="1">
      <alignment horizontal="center" vertical="center"/>
    </xf>
    <xf numFmtId="0" fontId="51" fillId="7" borderId="0" xfId="5" applyFont="1" applyFill="1" applyAlignment="1">
      <alignment horizontal="left" vertical="center" wrapText="1"/>
    </xf>
    <xf numFmtId="0" fontId="51" fillId="7" borderId="0" xfId="5" applyFont="1" applyFill="1" applyAlignment="1">
      <alignment horizontal="left" vertical="center"/>
    </xf>
    <xf numFmtId="0" fontId="40" fillId="9" borderId="10" xfId="5" applyFont="1" applyFill="1" applyBorder="1" applyAlignment="1">
      <alignment horizontal="center" vertical="center" wrapText="1"/>
    </xf>
    <xf numFmtId="0" fontId="40" fillId="9" borderId="9" xfId="5" applyFont="1" applyFill="1" applyBorder="1" applyAlignment="1">
      <alignment horizontal="center" vertical="center"/>
    </xf>
    <xf numFmtId="0" fontId="40" fillId="9" borderId="11" xfId="5" applyFont="1" applyFill="1" applyBorder="1" applyAlignment="1">
      <alignment horizontal="center" vertical="center"/>
    </xf>
    <xf numFmtId="0" fontId="40" fillId="9" borderId="46" xfId="5" applyFont="1" applyFill="1" applyBorder="1" applyAlignment="1">
      <alignment horizontal="center" vertical="center"/>
    </xf>
    <xf numFmtId="0" fontId="40" fillId="9" borderId="47" xfId="5" applyFont="1" applyFill="1" applyBorder="1" applyAlignment="1">
      <alignment horizontal="center" vertical="center"/>
    </xf>
    <xf numFmtId="0" fontId="40" fillId="9" borderId="35" xfId="5" applyFont="1" applyFill="1" applyBorder="1" applyAlignment="1">
      <alignment horizontal="center" vertical="center"/>
    </xf>
    <xf numFmtId="0" fontId="40" fillId="9" borderId="39" xfId="5" applyFont="1" applyFill="1" applyBorder="1" applyAlignment="1">
      <alignment horizontal="center" vertical="center"/>
    </xf>
    <xf numFmtId="0" fontId="40" fillId="9" borderId="51" xfId="5" applyFont="1" applyFill="1" applyBorder="1" applyAlignment="1">
      <alignment horizontal="center" vertical="center"/>
    </xf>
    <xf numFmtId="0" fontId="40" fillId="9" borderId="52" xfId="5" applyFont="1" applyFill="1" applyBorder="1" applyAlignment="1">
      <alignment horizontal="center" vertical="center"/>
    </xf>
    <xf numFmtId="0" fontId="40" fillId="9" borderId="53" xfId="5" applyFont="1" applyFill="1" applyBorder="1" applyAlignment="1">
      <alignment horizontal="center" vertical="center"/>
    </xf>
    <xf numFmtId="0" fontId="40" fillId="9" borderId="10" xfId="5" applyFont="1" applyFill="1" applyBorder="1" applyAlignment="1">
      <alignment horizontal="center" vertical="center"/>
    </xf>
    <xf numFmtId="0" fontId="54" fillId="7" borderId="0" xfId="5" applyFont="1" applyFill="1" applyAlignment="1">
      <alignment horizontal="left" vertical="center" wrapText="1"/>
    </xf>
    <xf numFmtId="0" fontId="54" fillId="7" borderId="0" xfId="5" applyFont="1" applyFill="1" applyAlignment="1">
      <alignment horizontal="left" vertical="center"/>
    </xf>
    <xf numFmtId="0" fontId="11" fillId="3" borderId="2" xfId="5" applyFont="1" applyFill="1" applyBorder="1" applyAlignment="1">
      <alignment horizontal="center" vertical="center"/>
    </xf>
    <xf numFmtId="0" fontId="11" fillId="3" borderId="3" xfId="5" applyFont="1" applyFill="1" applyBorder="1" applyAlignment="1">
      <alignment horizontal="center" vertical="center"/>
    </xf>
    <xf numFmtId="0" fontId="11" fillId="3" borderId="5" xfId="5" applyFont="1" applyFill="1" applyBorder="1" applyAlignment="1">
      <alignment horizontal="center" vertical="center"/>
    </xf>
    <xf numFmtId="0" fontId="11" fillId="3" borderId="16" xfId="5" applyFont="1" applyFill="1" applyBorder="1" applyAlignment="1">
      <alignment horizontal="center" vertical="center"/>
    </xf>
    <xf numFmtId="0" fontId="17" fillId="9" borderId="100" xfId="0" applyFont="1" applyFill="1" applyBorder="1" applyAlignment="1">
      <alignment horizontal="center" vertical="center"/>
    </xf>
    <xf numFmtId="0" fontId="17" fillId="9" borderId="100" xfId="0" applyFont="1" applyFill="1" applyBorder="1" applyAlignment="1">
      <alignment horizontal="center" vertical="center" wrapText="1"/>
    </xf>
    <xf numFmtId="0" fontId="17" fillId="9" borderId="101" xfId="0" applyFont="1" applyFill="1" applyBorder="1" applyAlignment="1">
      <alignment horizontal="center" vertical="center"/>
    </xf>
    <xf numFmtId="0" fontId="17" fillId="9" borderId="102" xfId="0" applyFont="1" applyFill="1" applyBorder="1" applyAlignment="1">
      <alignment horizontal="center" vertical="center"/>
    </xf>
    <xf numFmtId="0" fontId="17" fillId="9" borderId="103" xfId="0" applyFont="1" applyFill="1" applyBorder="1" applyAlignment="1">
      <alignment horizontal="center" vertical="center"/>
    </xf>
    <xf numFmtId="0" fontId="17" fillId="9" borderId="104" xfId="0" applyFont="1" applyFill="1" applyBorder="1" applyAlignment="1">
      <alignment horizontal="center" vertical="center"/>
    </xf>
    <xf numFmtId="0" fontId="17" fillId="9" borderId="100" xfId="0" applyFont="1" applyFill="1" applyBorder="1" applyAlignment="1">
      <alignment horizontal="center" vertical="center"/>
    </xf>
    <xf numFmtId="41" fontId="18" fillId="0" borderId="0" xfId="2" applyFont="1">
      <alignment vertical="center"/>
    </xf>
    <xf numFmtId="0" fontId="18" fillId="10" borderId="100" xfId="0" applyFont="1" applyFill="1" applyBorder="1" applyAlignment="1">
      <alignment horizontal="center" vertical="center"/>
    </xf>
    <xf numFmtId="41" fontId="18" fillId="10" borderId="100" xfId="2" applyFont="1" applyFill="1" applyBorder="1" applyAlignment="1">
      <alignment horizontal="center" vertical="center"/>
    </xf>
    <xf numFmtId="176" fontId="7" fillId="2" borderId="101" xfId="6" applyNumberFormat="1" applyFont="1" applyFill="1" applyBorder="1" applyAlignment="1">
      <alignment horizontal="center" vertical="center" shrinkToFit="1"/>
    </xf>
    <xf numFmtId="176" fontId="7" fillId="2" borderId="105" xfId="6" applyNumberFormat="1" applyFont="1" applyFill="1" applyBorder="1" applyAlignment="1">
      <alignment horizontal="center" vertical="center" shrinkToFit="1"/>
    </xf>
    <xf numFmtId="14" fontId="7" fillId="2" borderId="101" xfId="6" applyNumberFormat="1" applyFont="1" applyFill="1" applyBorder="1" applyAlignment="1">
      <alignment horizontal="center" vertical="center" shrinkToFit="1"/>
    </xf>
    <xf numFmtId="14" fontId="7" fillId="2" borderId="103" xfId="6" applyNumberFormat="1" applyFont="1" applyFill="1" applyBorder="1" applyAlignment="1">
      <alignment horizontal="center" vertical="center" shrinkToFit="1"/>
    </xf>
    <xf numFmtId="10" fontId="7" fillId="2" borderId="106" xfId="6" applyNumberFormat="1" applyFont="1" applyFill="1" applyBorder="1" applyAlignment="1">
      <alignment horizontal="left" vertical="center" shrinkToFit="1"/>
    </xf>
    <xf numFmtId="10" fontId="7" fillId="2" borderId="102" xfId="6" applyNumberFormat="1" applyFont="1" applyFill="1" applyBorder="1" applyAlignment="1">
      <alignment horizontal="left" vertical="center" shrinkToFit="1"/>
    </xf>
    <xf numFmtId="10" fontId="7" fillId="2" borderId="103" xfId="6" applyNumberFormat="1" applyFont="1" applyFill="1" applyBorder="1" applyAlignment="1">
      <alignment horizontal="left" vertical="center" shrinkToFit="1"/>
    </xf>
    <xf numFmtId="41" fontId="38" fillId="0" borderId="0" xfId="2" applyFont="1">
      <alignment vertical="center"/>
    </xf>
    <xf numFmtId="41" fontId="38" fillId="0" borderId="0" xfId="5" applyNumberFormat="1" applyFont="1">
      <alignment vertical="center"/>
    </xf>
    <xf numFmtId="187" fontId="35" fillId="8" borderId="65" xfId="2" applyNumberFormat="1" applyFont="1" applyFill="1" applyBorder="1">
      <alignment vertical="center"/>
    </xf>
    <xf numFmtId="189" fontId="35" fillId="8" borderId="65" xfId="2" applyNumberFormat="1" applyFont="1" applyFill="1" applyBorder="1">
      <alignment vertical="center"/>
    </xf>
    <xf numFmtId="41" fontId="35" fillId="8" borderId="65" xfId="2" applyNumberFormat="1" applyFont="1" applyFill="1" applyBorder="1">
      <alignment vertical="center"/>
    </xf>
    <xf numFmtId="187" fontId="35" fillId="8" borderId="65" xfId="2" applyNumberFormat="1" applyFont="1" applyFill="1" applyBorder="1" applyAlignment="1">
      <alignment horizontal="center" vertical="center"/>
    </xf>
    <xf numFmtId="191" fontId="38" fillId="8" borderId="1" xfId="5" applyNumberFormat="1" applyFont="1" applyFill="1" applyBorder="1">
      <alignment vertical="center"/>
    </xf>
    <xf numFmtId="192" fontId="38" fillId="8" borderId="1" xfId="5" applyNumberFormat="1" applyFont="1" applyFill="1" applyBorder="1">
      <alignment vertical="center"/>
    </xf>
    <xf numFmtId="176" fontId="38" fillId="0" borderId="0" xfId="5" applyNumberFormat="1" applyFont="1">
      <alignment vertical="center"/>
    </xf>
    <xf numFmtId="0" fontId="33" fillId="0" borderId="0" xfId="0" applyFont="1" applyAlignment="1">
      <alignment vertical="center"/>
    </xf>
    <xf numFmtId="41" fontId="35" fillId="0" borderId="0" xfId="2" applyFont="1">
      <alignment vertical="center"/>
    </xf>
    <xf numFmtId="41" fontId="35" fillId="0" borderId="0" xfId="2" applyFont="1" applyAlignment="1">
      <alignment vertical="center"/>
    </xf>
    <xf numFmtId="41" fontId="1" fillId="0" borderId="0" xfId="5" applyNumberFormat="1" applyFont="1">
      <alignment vertical="center"/>
    </xf>
    <xf numFmtId="187" fontId="35" fillId="8" borderId="68" xfId="2" applyNumberFormat="1" applyFont="1" applyFill="1" applyBorder="1">
      <alignment vertical="center"/>
    </xf>
    <xf numFmtId="187" fontId="35" fillId="8" borderId="69" xfId="2" applyNumberFormat="1" applyFont="1" applyFill="1" applyBorder="1">
      <alignment vertical="center"/>
    </xf>
    <xf numFmtId="187" fontId="35" fillId="8" borderId="72" xfId="2" applyNumberFormat="1" applyFont="1" applyFill="1" applyBorder="1" applyAlignment="1">
      <alignment horizontal="center" vertical="center"/>
    </xf>
    <xf numFmtId="187" fontId="35" fillId="8" borderId="73" xfId="2" applyNumberFormat="1" applyFont="1" applyFill="1" applyBorder="1" applyAlignment="1">
      <alignment horizontal="center" vertical="center"/>
    </xf>
    <xf numFmtId="187" fontId="35" fillId="8" borderId="72" xfId="2" applyNumberFormat="1" applyFont="1" applyFill="1" applyBorder="1">
      <alignment vertical="center"/>
    </xf>
    <xf numFmtId="187" fontId="35" fillId="8" borderId="73" xfId="2" applyNumberFormat="1" applyFont="1" applyFill="1" applyBorder="1">
      <alignment vertical="center"/>
    </xf>
    <xf numFmtId="187" fontId="35" fillId="8" borderId="71" xfId="2" applyNumberFormat="1" applyFont="1" applyFill="1" applyBorder="1">
      <alignment vertical="center"/>
    </xf>
    <xf numFmtId="182" fontId="35" fillId="8" borderId="72" xfId="2" applyNumberFormat="1" applyFont="1" applyFill="1" applyBorder="1" applyAlignment="1">
      <alignment horizontal="center" vertical="center"/>
    </xf>
    <xf numFmtId="187" fontId="35" fillId="8" borderId="67" xfId="2" applyNumberFormat="1" applyFont="1" applyFill="1" applyBorder="1">
      <alignment vertical="center"/>
    </xf>
    <xf numFmtId="187" fontId="35" fillId="8" borderId="71" xfId="2" applyNumberFormat="1" applyFont="1" applyFill="1" applyBorder="1" applyAlignment="1">
      <alignment horizontal="center" vertical="center"/>
    </xf>
  </cellXfs>
  <cellStyles count="11">
    <cellStyle name="백분율" xfId="9" builtinId="5"/>
    <cellStyle name="백분율 2" xfId="1" xr:uid="{00000000-0005-0000-0000-000000000000}"/>
    <cellStyle name="쉼표 [0]" xfId="2" builtinId="6"/>
    <cellStyle name="쉼표 [0] 2" xfId="3" xr:uid="{00000000-0005-0000-0000-000002000000}"/>
    <cellStyle name="쉼표 [0] 6" xfId="4" xr:uid="{00000000-0005-0000-0000-000003000000}"/>
    <cellStyle name="표준" xfId="0" builtinId="0"/>
    <cellStyle name="표준 2" xfId="5" xr:uid="{00000000-0005-0000-0000-000005000000}"/>
    <cellStyle name="표준 2 2" xfId="8" xr:uid="{49F89D15-A004-4692-8919-E2E1337C3DA2}"/>
    <cellStyle name="표준 2 23" xfId="10" xr:uid="{A1DF6680-F2A8-4480-8123-DCBA24EE68B8}"/>
    <cellStyle name="표준 3" xfId="7" xr:uid="{3CB586A7-A76F-499C-9BF1-AEEAD5CCF01B}"/>
    <cellStyle name="표준_중진공 TOOL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24</xdr:row>
      <xdr:rowOff>142875</xdr:rowOff>
    </xdr:from>
    <xdr:to>
      <xdr:col>7</xdr:col>
      <xdr:colOff>1162050</xdr:colOff>
      <xdr:row>26</xdr:row>
      <xdr:rowOff>103625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53814DF-7AE1-0E30-EACB-F649E1C6F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6425" y="4943475"/>
          <a:ext cx="3438525" cy="398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chiyoung\Audit%20&amp;%20tax\&#45224;&#50689;&#51204;&#44396;\WF200\TMP\~TMP5043.$$$\&#44228;&#51221;&#44284;&#477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5936;&#51060;&#53552;&#48373;&#44396;\D\client\&#49888;&#51068;&#49328;&#50629;\2004\&#44592;&#47568;&#44048;&#49324;\&#54924;&#49324;&#51228;&#49884;&#51088;&#47308;\20050214-2\&#49888;&#51068;&#51312;&#49436;4\6311%20&#52264;&#51077;&#4455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4788;&#49437;\&#44228;&#51221;&#47749;&#49464;&#49436;&#53685;\My%20Documents\&#44221;&#46041;&#44508;\&#49352;%20&#54260;&#45908;\&#44208;&#49328;\&#51088;&#44552;\&#44208;&#49328;&#49436;\2000&#44208;&#49328;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chiyoung\Audit%20&amp;%20tax\&#45224;&#50689;&#51204;&#44396;\WF200\TMP\~TMP5043.$$$\&#44228;&#51221;&#44284;&#4778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oon-yang.jeong\My%20Documents\My%20Documents\After%201,%20Oct.%202004\01_1.%20Audit_2005.12.31\&#45224;&#49457;\2005.09.30%20report\&#45224;&#49457;%203&#48516;&#44592;%20%20fs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3364;&#46972;&#51060;&#50616;&#53944;\&#45224;&#49457;\&#45224;&#49457;\&#45224;&#49457;05%203Q&#44160;&#53664;\3Q%20&#51116;&#47924;&#51228;&#54364;&#51089;&#49457;\New%20Folder\Documents%20and%20Settings\Administrator\My%20Documents\&#44053;&#49437;&#51652;\&#45224;&#49457;\2.Audit%20report\Documents%20and%20Settings\jyjeung\My%20Do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ae-ik.son\My%20Documents\&#44048;&#49324;&#45824;&#49345;&#54924;&#49324;\&#50689;&#54413;\2005&#45380;%20&#48152;&#44592;\backup\&#47928;&#44221;&#47197;\&#54620;&#50689;&#50629;&#47924;\&#44048;&#49324;(incharge)\2005&#45380;\&#55092;&#47676;&#53581;&#53076;&#47532;&#50500;\&#51204;&#44592;&#47568;&#51312;&#49436;\5330%20&#47588;&#52636;&#52292;&#44428;&#51092;&#50529;&#44160;&#5366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ae-ik.son\My%20Documents\&#44048;&#49324;&#45824;&#49345;&#54924;&#49324;\&#50689;&#54413;\2005&#45380;%20&#48152;&#44592;\backup\&#47928;&#44221;&#47197;\&#54620;&#50689;&#50629;&#47924;\&#44048;&#49324;(assistant)\2005&#45380;\&#50689;&#54413;1&#48516;&#44592;&#44160;&#53664;\&#44160;&#53664;&#51312;&#49436;(&#50689;&#54413;05&#45380;1&#48516;&#44592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8160%20&#47588;&#52636;&#50896;&#44032;&#48516;&#49437;&#51201;&#44160;&#53664;(3&#48516;&#44592;)&#51032;%20&#50892;&#53356;&#49884;&#53944;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MOONKYUNGR\aws\&#47928;&#44221;&#47197;\&#50504;&#44148;&#50629;&#47924;(NEW)\&#44048;&#49324;(in-charge)\2004\&#50689;&#54413;&#51204;&#51088;\&#44592;&#47568;&#44048;&#49324;\2004&#50689;&#54413;&#51204;&#51088;(&#51452;)-&#49688;&#51221;&#49324;&#54637;&#51665;&#44228;&#5436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0.210\&#51116;&#44221;&#54016;\lark\AUDIT\&#53356;&#47112;&#49888;&#44060;&#48156;\&#51116;&#47924;&#51228;&#54364;-&#53356;&#47000;&#4988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4984;\&#48512;&#49549;&#47749;&#49464;&#49436;(2\My%20Documents\&#44221;&#46041;&#44508;\&#49352;%20&#54260;&#45908;\&#44208;&#49328;\&#51088;&#44552;\&#44208;&#49328;&#49436;\2000&#44208;&#49328;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  <sheetName val="10월시간수당"/>
      <sheetName val="11월시간수당"/>
      <sheetName val="12월시간수당"/>
      <sheetName val="주민번호"/>
      <sheetName val="12월급여"/>
      <sheetName val="보증금(전신전화가입권)"/>
      <sheetName val="회사개황최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공주환경 정산표_20120130_v5"/>
      <sheetName val="분기별총괄자료"/>
      <sheetName val="기본사항"/>
      <sheetName val="P&amp;L Summary Page"/>
      <sheetName val="1100A-수임"/>
      <sheetName val="B22-2_매출등"/>
      <sheetName val="특수관계자 명단"/>
      <sheetName val="1. 매출 및 수익"/>
      <sheetName val="XREF"/>
      <sheetName val="4000A-1"/>
      <sheetName val="4000I-1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B22-4_채권"/>
      <sheetName val="WTB"/>
      <sheetName val="F456"/>
      <sheetName val="시산표"/>
      <sheetName val="외출"/>
      <sheetName val="리드"/>
      <sheetName val="Sheet1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공주환경_정산표_20120130_v5"/>
      <sheetName val="특수관계자_명단"/>
      <sheetName val="1__매출_및_수익"/>
      <sheetName val="특수관계자_명단2"/>
      <sheetName val="1__매출_및_수익2"/>
      <sheetName val="공주환경_정산표_20120130_v52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2017년"/>
      <sheetName val="단기금융상품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RCM-04"/>
      <sheetName val="3. 계정과목"/>
      <sheetName val="#REF"/>
      <sheetName val="PBC&gt;&gt;"/>
      <sheetName val="채권채무"/>
      <sheetName val="집계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단기차입"/>
      <sheetName val="장기차입"/>
      <sheetName val="사채"/>
      <sheetName val="미지급,선급비용"/>
      <sheetName val="이자비용"/>
      <sheetName val="XREF"/>
      <sheetName val="Tickmarks"/>
      <sheetName val="-200"/>
      <sheetName val="중간감사결과보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00'미수"/>
      <sheetName val="00'적금미수"/>
      <sheetName val="미지급(00.12.31)"/>
      <sheetName val="01'6월적금미수"/>
      <sheetName val="01'미수결산"/>
      <sheetName val="미수(01,1-6)"/>
      <sheetName val="이자수익(01)"/>
      <sheetName val="이자비용(01)"/>
      <sheetName val="01'3월적금미수"/>
      <sheetName val="적금미수(01-9)"/>
      <sheetName val="미수(01-9)"/>
      <sheetName val="적금미수(01-10)"/>
      <sheetName val="미수(01-10)"/>
      <sheetName val="적금미수(01.12.31)"/>
      <sheetName val="미수수익(01-12)"/>
      <sheetName val="미수(01.12.31)"/>
      <sheetName val="이자수익계정변경"/>
      <sheetName val="부문별이자수익(01)"/>
      <sheetName val="미지급(01년3월)"/>
      <sheetName val="미지급(01)"/>
      <sheetName val="선급(01)"/>
      <sheetName val="미수수익명세"/>
      <sheetName val="은행별단기차입"/>
      <sheetName val="단기차입"/>
      <sheetName val="부문별이자비용(01)"/>
      <sheetName val="명세2"/>
      <sheetName val="Sheet1"/>
      <sheetName val="외환차익(01)"/>
      <sheetName val="외환차손(01-6)"/>
      <sheetName val="외환차손(01)"/>
      <sheetName val="외환차익(01-6)"/>
      <sheetName val="외환차손(01-9)"/>
      <sheetName val="외환차익(01-9)"/>
      <sheetName val="건설이자"/>
      <sheetName val="건설이자(01)"/>
      <sheetName val="사채이자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  <sheetName val="회사정보"/>
      <sheetName val="WPL"/>
      <sheetName val="Parm"/>
      <sheetName val="YUGA"/>
      <sheetName val="97년추정손익계산서"/>
      <sheetName val="회사BS"/>
      <sheetName val="프레스"/>
      <sheetName val="scale &amp; 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조서대장_"/>
      <sheetName val="IS"/>
      <sheetName val="표지"/>
      <sheetName val="제품별원가분석"/>
      <sheetName val="BS"/>
      <sheetName val="비용flux test"/>
      <sheetName val="FAB별"/>
      <sheetName val="1-1"/>
      <sheetName val="조서대장_1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금형이력"/>
      <sheetName val="BLANK_(2)"/>
      <sheetName val="조서대장_2"/>
      <sheetName val="현금흐름표"/>
      <sheetName val="합계잔액시산표"/>
      <sheetName val="INMD1198"/>
      <sheetName val="2017.12"/>
      <sheetName val="시산표"/>
      <sheetName val="조서대장_3"/>
      <sheetName val="조서대장_7"/>
      <sheetName val="조서대장_4"/>
      <sheetName val="조서대장_5"/>
      <sheetName val="조서대장_6"/>
      <sheetName val="분개장·원장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(1분기)"/>
      <sheetName val="BS1"/>
      <sheetName val="1분기정산표"/>
      <sheetName val="제시BS"/>
      <sheetName val="제시PL"/>
      <sheetName val="Audit Finding-2005.9.30"/>
      <sheetName val="정산표 (3분기)"/>
      <sheetName val="IS(2분기)"/>
      <sheetName val="BS(3분기)"/>
      <sheetName val="RE1"/>
      <sheetName val="CF1"/>
      <sheetName val="현금흐름표검증조서(1분기)"/>
      <sheetName val="PL(3분기)"/>
      <sheetName val="CF (3분기)"/>
      <sheetName val="현금흐름표검증조서 (3분기)"/>
      <sheetName val="분기순이익 계산시트"/>
      <sheetName val="합계잔액시산표"/>
      <sheetName val="유형자산리드"/>
      <sheetName val="외화환산"/>
      <sheetName val="RE"/>
      <sheetName val="현금작성조서"/>
      <sheetName val="외화환산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BS"/>
      <sheetName val="퇴직충당금자료_2003년11월"/>
      <sheetName val="F1,2"/>
      <sheetName val="F3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00'미수"/>
      <sheetName val="00'적금미수"/>
      <sheetName val="미지급(00.12.31)"/>
      <sheetName val="01'6월적금미수"/>
      <sheetName val="01'미수결산"/>
      <sheetName val="미수(01,1-6)"/>
      <sheetName val="미수수익(01)"/>
      <sheetName val="이자수익(01)"/>
      <sheetName val="01'3월적금미수"/>
      <sheetName val="적금미수임시"/>
      <sheetName val="부문별이자수익(01)"/>
      <sheetName val="미지급임시"/>
      <sheetName val="미지급(01년3월)"/>
      <sheetName val="미지급(01)"/>
      <sheetName val="선급(01)"/>
      <sheetName val="미수수익명세"/>
      <sheetName val="은행별단기차입"/>
      <sheetName val="단기차입"/>
      <sheetName val="부문별이자비용(01)"/>
      <sheetName val="명세2"/>
      <sheetName val="Sheet1"/>
      <sheetName val="외환차익(01)"/>
      <sheetName val="외환차손(01)"/>
      <sheetName val="외환차손(01-6)"/>
      <sheetName val="외환차익(01-6)"/>
      <sheetName val="이자비용(01)"/>
      <sheetName val="건설이자(01)"/>
      <sheetName val="사채이자"/>
      <sheetName val="정산표"/>
      <sheetName val="★보고서BS"/>
      <sheetName val="★보고서PL"/>
      <sheetName val="★보고서RE"/>
      <sheetName val="★보고서CF"/>
      <sheetName val="현금조서"/>
      <sheetName val="현금흐름표"/>
      <sheetName val="직접법 현금흐름정산표"/>
      <sheetName val="성적일람"/>
      <sheetName val="수보명세"/>
      <sheetName val="보험금"/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퇴직보험료신규"/>
      <sheetName val="퇴직-계속"/>
      <sheetName val="예금이자"/>
      <sheetName val="유가증권이자"/>
      <sheetName val="기타수익이자"/>
      <sheetName val="유가증권처분이익"/>
      <sheetName val="유가증권평가이익"/>
      <sheetName val="보험금비용"/>
      <sheetName val="환급금비용"/>
      <sheetName val="특별계정수입수수료"/>
      <sheetName val="유가증권처분손"/>
      <sheetName val="이자비용"/>
      <sheetName val="Sheet4"/>
      <sheetName val="Sheet5"/>
      <sheetName val="Sheet6"/>
      <sheetName val="Sheet7"/>
      <sheetName val="ASSIGN "/>
      <sheetName val="AF"/>
      <sheetName val="MP"/>
      <sheetName val="BS분석"/>
      <sheetName val="PL분석"/>
      <sheetName val="매출채권"/>
      <sheetName val="대충금"/>
      <sheetName val="2001 진행율-예정원가변경전(A.K)"/>
      <sheetName val="총괄표"/>
      <sheetName val="채권조회서 Roll-forward test"/>
      <sheetName val="재고자산"/>
      <sheetName val="매입채무"/>
      <sheetName val="채무조회서 Roll-forward test"/>
      <sheetName val="매출"/>
      <sheetName val="매출분석"/>
      <sheetName val="매출원가"/>
      <sheetName val="매출원가분석"/>
      <sheetName val="법인세비용"/>
      <sheetName val="태안화력(80239)"/>
      <sheetName val="작업진행율및 미완성공사 내역"/>
      <sheetName val="미수공사금명세서"/>
      <sheetName val="Book2"/>
      <sheetName val="TB"/>
      <sheetName val="만기"/>
      <sheetName val="계수원본(99.2.28)"/>
      <sheetName val="#REF"/>
      <sheetName val="적용환율"/>
      <sheetName val="자산가치"/>
      <sheetName val="성화"/>
      <sheetName val="요약PL"/>
      <sheetName val="손익계산서"/>
      <sheetName val="이익잉여금처분계산서"/>
      <sheetName val="용역원가명세서"/>
      <sheetName val="감사일어"/>
      <sheetName val="최종 월별장부요약표"/>
      <sheetName val="WBS"/>
      <sheetName val="성적표96"/>
      <sheetName val="X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WPL"/>
      <sheetName val="차수"/>
      <sheetName val="Stock Div Accural"/>
      <sheetName val="5300"/>
      <sheetName val="LeadSchedule"/>
      <sheetName val="현금및예치금집계표"/>
      <sheetName val="A"/>
      <sheetName val="5.지분법분개"/>
      <sheetName val="2.지분법적용주식Leadsheet(1)"/>
      <sheetName val="F456"/>
      <sheetName val="XREF"/>
      <sheetName val="현금흐름표"/>
      <sheetName val="공사미수금"/>
      <sheetName val="2600"/>
      <sheetName val="INDEX"/>
      <sheetName val="3100"/>
      <sheetName val="1100"/>
      <sheetName val="1300"/>
      <sheetName val="2500"/>
      <sheetName val="2200"/>
      <sheetName val="Sheet1"/>
      <sheetName val="손익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VOL1"/>
      <sheetName val="TIMESHEET"/>
      <sheetName val="감가상각LS"/>
      <sheetName val="LS "/>
      <sheetName val="lead"/>
      <sheetName val="상품금액수불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세무서코드"/>
      <sheetName val="5_지분법분개"/>
      <sheetName val="2_지분법적용주식Leadsheet(1)"/>
      <sheetName val="임율총괄"/>
      <sheetName val="Global Data"/>
      <sheetName val="Two Step Revenue Testing Master"/>
      <sheetName val="FAB별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XREF"/>
      <sheetName val="F12"/>
      <sheetName val="F3"/>
      <sheetName val="남동"/>
      <sheetName val="시산표(매출조정전)"/>
      <sheetName val="LS "/>
      <sheetName val="WTB"/>
      <sheetName val="PAJE,PRJE"/>
      <sheetName val="경기연합"/>
      <sheetName val="제조경비"/>
      <sheetName val="부재료입고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R7">
            <v>0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I316">
            <v>0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O55">
            <v>0</v>
          </cell>
          <cell r="Q55">
            <v>0</v>
          </cell>
          <cell r="U55">
            <v>62704895.616666645</v>
          </cell>
          <cell r="V55">
            <v>0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X44">
            <v>0</v>
          </cell>
        </row>
      </sheetData>
      <sheetData sheetId="9">
        <row r="94">
          <cell r="D94">
            <v>0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I7">
            <v>0</v>
          </cell>
          <cell r="O7">
            <v>0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채권잔액검증절차"/>
      <sheetName val="외출&amp;선수 조정(기말)"/>
      <sheetName val="외출&amp;선수 조정(3분기)"/>
      <sheetName val="XREF"/>
      <sheetName val="Tickmarks"/>
      <sheetName val="단기차입금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석사항"/>
      <sheetName val="assign"/>
      <sheetName val="요청자료"/>
      <sheetName val="현금흐름표사항"/>
      <sheetName val="현금L"/>
      <sheetName val="이자수익OT"/>
      <sheetName val="미수이자재계산"/>
      <sheetName val="재고L"/>
      <sheetName val="재고AR"/>
      <sheetName val="기타유동AR"/>
      <sheetName val="기타투자L"/>
      <sheetName val="기타투자AR"/>
      <sheetName val="단기차입L"/>
      <sheetName val="단기차입외화환산"/>
      <sheetName val="유동부채L"/>
      <sheetName val="유동부채SPT"/>
      <sheetName val="유동부채AR"/>
      <sheetName val="고정부채L"/>
      <sheetName val="단기차입명세서"/>
      <sheetName val="은행연합회대조"/>
      <sheetName val="사채명세서"/>
      <sheetName val="유동성장기부채(05)"/>
      <sheetName val="유동성검증"/>
      <sheetName val="장기차입명세서"/>
      <sheetName val="외화장기차입명세서"/>
      <sheetName val="사발차"/>
      <sheetName val="이자비용OT"/>
      <sheetName val="미지급비용명세"/>
      <sheetName val="미지급비용재계산"/>
      <sheetName val="매입채무L"/>
      <sheetName val="기타유동L"/>
      <sheetName val="매입SPT"/>
      <sheetName val="매출원가L"/>
      <sheetName val="매출원가AR"/>
      <sheetName val="영업외수익L"/>
      <sheetName val="영업외비용L"/>
      <sheetName val="잡손실"/>
      <sheetName val="Tick Mark Regend"/>
      <sheetName val="조서목록"/>
      <sheetName val="건물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분기"/>
      <sheetName val="M-H배분"/>
      <sheetName val="threshold"/>
      <sheetName val="7월 간-배"/>
      <sheetName val="8월 간-배"/>
      <sheetName val="9월 간-배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감사인검토내역(PAJE)"/>
      <sheetName val="제조원가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F456"/>
      <sheetName val="지분법_광전"/>
      <sheetName val="PAJE,PRJE"/>
      <sheetName val="WTB"/>
      <sheetName val="매출채권총괄LS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외화자산환산내역"/>
      <sheetName val="인건비 내역서"/>
      <sheetName val="Assumptions"/>
      <sheetName val="lead"/>
      <sheetName val="현금과예금(부산)"/>
      <sheetName val="시산표"/>
      <sheetName val="심리RN"/>
      <sheetName val="폼관조직"/>
      <sheetName val="유가증권lead(5200)"/>
      <sheetName val="지분법_수원네트워크(5250)"/>
      <sheetName val="일보_생산"/>
      <sheetName val="LS"/>
      <sheetName val="지분법"/>
      <sheetName val="X"/>
      <sheetName val="통계자료"/>
      <sheetName val="지수"/>
      <sheetName val="Sheet1"/>
      <sheetName val="선급법인세 (2)"/>
      <sheetName val="유가증권의평가"/>
      <sheetName val="유형자산"/>
      <sheetName val="LEAD 및 감사절차 요약"/>
      <sheetName val="TAT"/>
      <sheetName val="YLD"/>
      <sheetName val="ORIGINAL"/>
      <sheetName val="Financials"/>
      <sheetName val="감가상각LS"/>
      <sheetName val="LS "/>
      <sheetName val="U"/>
      <sheetName val="5600"/>
      <sheetName val="금융자산집계표"/>
      <sheetName val="매출원가 LEAD"/>
      <sheetName val="2261 시산표(2321Financial Statemen"/>
      <sheetName val="현금흐름표"/>
      <sheetName val="ARP"/>
      <sheetName val="감가상각TEST"/>
      <sheetName val="시산표(매출조정전)"/>
      <sheetName val="손익"/>
      <sheetName val="TB(PL)"/>
      <sheetName val="무형"/>
      <sheetName val="IS"/>
      <sheetName val="처분TEST"/>
      <sheetName val="순자산가액변동및해외환산차손-중국"/>
      <sheetName val="외주현황.wq1"/>
      <sheetName val="이연법인세(전기)"/>
      <sheetName val="May."/>
      <sheetName val="재고자산"/>
      <sheetName val="미수수익계산(5123)"/>
      <sheetName val="5311"/>
      <sheetName val="CF-BK 1"/>
      <sheetName val="05-2W"/>
      <sheetName val="BS"/>
      <sheetName val="유가증권L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별첨1"/>
      <sheetName val="별첨2"/>
      <sheetName val="별첨3"/>
      <sheetName val="건물"/>
      <sheetName val="현금등가물"/>
      <sheetName val="수정시산표"/>
      <sheetName val="현금및예금LS(5120)"/>
      <sheetName val="경영비율 "/>
      <sheetName val="UFPrn20090206080825"/>
      <sheetName val="F-4,5"/>
      <sheetName val="요약"/>
      <sheetName val="대손충당금 계산내역(반영전)"/>
      <sheetName val="대손충당금 계산내역(반영후)"/>
      <sheetName val="이연법인세6월말"/>
      <sheetName val="지분법평가1분기"/>
      <sheetName val="검토사항"/>
      <sheetName val="지분법평가"/>
      <sheetName val="BM_NEW2"/>
      <sheetName val="Test"/>
      <sheetName val="Bs. de Uso 200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F1,2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채권조회서 Roll-forward test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감가상각누계액"/>
      <sheetName val="유형,무형자산리드"/>
      <sheetName val="취득,처분내역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Balance Sheet"/>
      <sheetName val="Income Statement"/>
      <sheetName val="subsequent payment"/>
      <sheetName val="F12"/>
      <sheetName val="F3"/>
      <sheetName val="건물 (2)"/>
      <sheetName val="LS (2)"/>
      <sheetName val="정산표"/>
      <sheetName val="이자수익OVERALL"/>
      <sheetName val="현금과예금(부산)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임차시설물"/>
      <sheetName val="Footnotes"/>
      <sheetName val="감가상각LS (2)"/>
      <sheetName val="리드"/>
      <sheetName val="법인세"/>
      <sheetName val="주석사항_전기"/>
      <sheetName val="이연법인세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F45"/>
      <sheetName val="수정시산표"/>
      <sheetName val="118.세금과공과"/>
      <sheetName val="공사미수금"/>
      <sheetName val="(C) 5631 유형자산의 워크시트"/>
      <sheetName val="F1,2"/>
      <sheetName val="현금흐름표"/>
      <sheetName val="현금등LS(5131-1)"/>
      <sheetName val="현장"/>
      <sheetName val="97년"/>
      <sheetName val="기타예금_신탁예금_일별잔액"/>
      <sheetName val="Sheet3"/>
      <sheetName val="미수수익계산(5123)"/>
      <sheetName val="1월계획 그래프"/>
      <sheetName val="고객리스트"/>
      <sheetName val="钢琴明细"/>
      <sheetName val="조회총괄"/>
      <sheetName val="현금예금분류(당기)"/>
      <sheetName val="이자수익PT"/>
      <sheetName val="대외공문"/>
      <sheetName val="상품제품월별매출"/>
      <sheetName val="INPUT"/>
      <sheetName val="계정별실적"/>
      <sheetName val="PAJE(CAJE)"/>
      <sheetName val="PRJE(CRJE)"/>
      <sheetName val="F3_PL"/>
      <sheetName val="RCS"/>
      <sheetName val="총괄"/>
      <sheetName val="본사"/>
      <sheetName val="수탁현황"/>
      <sheetName val="감가상각비 배부검토"/>
      <sheetName val="Setup"/>
      <sheetName val="시산표"/>
      <sheetName val="원재료,저장품"/>
      <sheetName val="심리RN"/>
      <sheetName val="투자-국내2"/>
      <sheetName val="상품입고집계"/>
      <sheetName val="FAB별"/>
      <sheetName val="대환취급"/>
      <sheetName val="동해title"/>
      <sheetName val="Query1"/>
      <sheetName val="OBData"/>
      <sheetName val="05현금등가"/>
      <sheetName val="96수표어음"/>
      <sheetName val="동호List"/>
      <sheetName val="F-4,5"/>
      <sheetName val="B"/>
      <sheetName val="Debt (KDB)"/>
      <sheetName val="투입"/>
      <sheetName val="실행철강하도"/>
      <sheetName val="공사"/>
      <sheetName val="CF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사항집계"/>
      <sheetName val="5423"/>
      <sheetName val="5440"/>
      <sheetName val="제조원가내역"/>
      <sheetName val="XREF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61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수정사항"/>
      <sheetName val="대차대조표"/>
      <sheetName val="손익계산서"/>
      <sheetName val="이익잉여금처분계산서"/>
      <sheetName val="현금흐름표"/>
      <sheetName val="WBS"/>
      <sheetName val="WPL"/>
      <sheetName val="현금표작성1"/>
      <sheetName val="현금표작성"/>
      <sheetName val="WCF"/>
      <sheetName val="단기차입금(200006)"/>
      <sheetName val="차수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00'미수"/>
      <sheetName val="00'적금미수"/>
      <sheetName val="미지급(00.12.31)"/>
      <sheetName val="01'6월적금미수"/>
      <sheetName val="01'미수결산"/>
      <sheetName val="미수(01,1-6)"/>
      <sheetName val="이자수익(01)"/>
      <sheetName val="이자비용(01)"/>
      <sheetName val="01'3월적금미수"/>
      <sheetName val="적금미수(01-9)"/>
      <sheetName val="미수(01-9)"/>
      <sheetName val="적금미수(01-10)"/>
      <sheetName val="미수(01-10)"/>
      <sheetName val="적금미수(01.12.31)"/>
      <sheetName val="미수수익(01-12)"/>
      <sheetName val="미수(01.12.31)"/>
      <sheetName val="이자수익계정변경"/>
      <sheetName val="부문별이자수익(01)"/>
      <sheetName val="미지급(01년3월)"/>
      <sheetName val="미지급(01)"/>
      <sheetName val="선급(01)"/>
      <sheetName val="미수수익명세"/>
      <sheetName val="은행별단기차입"/>
      <sheetName val="단기차입"/>
      <sheetName val="부문별이자비용(01)"/>
      <sheetName val="명세2"/>
      <sheetName val="Sheet1"/>
      <sheetName val="외환차익(01)"/>
      <sheetName val="외환차손(01-6)"/>
      <sheetName val="외환차손(01)"/>
      <sheetName val="외환차익(01-6)"/>
      <sheetName val="외환차손(01-9)"/>
      <sheetName val="외환차익(01-9)"/>
      <sheetName val="건설이자"/>
      <sheetName val="건설이자(01)"/>
      <sheetName val="사채이자"/>
      <sheetName val="합손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9EFC-6378-4129-A1B5-1A1272764B52}">
  <sheetPr>
    <tabColor rgb="FF92D050"/>
    <pageSetUpPr fitToPage="1"/>
  </sheetPr>
  <dimension ref="A1:O44"/>
  <sheetViews>
    <sheetView view="pageBreakPreview" zoomScale="160" zoomScaleNormal="100" zoomScaleSheetLayoutView="160" workbookViewId="0">
      <selection activeCell="G4" sqref="G4"/>
    </sheetView>
  </sheetViews>
  <sheetFormatPr defaultColWidth="8.88671875" defaultRowHeight="12" x14ac:dyDescent="0.15"/>
  <cols>
    <col min="1" max="1" width="3.21875" style="133" bestFit="1" customWidth="1"/>
    <col min="2" max="2" width="0.88671875" style="128" customWidth="1"/>
    <col min="3" max="3" width="12.44140625" style="128" customWidth="1"/>
    <col min="4" max="4" width="0.88671875" style="128" customWidth="1"/>
    <col min="5" max="5" width="12.44140625" style="128" customWidth="1"/>
    <col min="6" max="6" width="0.88671875" style="128" customWidth="1"/>
    <col min="7" max="7" width="12.44140625" style="128" customWidth="1"/>
    <col min="8" max="8" width="0.88671875" style="128" customWidth="1"/>
    <col min="9" max="9" width="12.44140625" style="128" customWidth="1"/>
    <col min="10" max="10" width="0.88671875" style="128" customWidth="1"/>
    <col min="11" max="11" width="9.88671875" style="128" customWidth="1"/>
    <col min="12" max="12" width="0.88671875" style="128" customWidth="1"/>
    <col min="13" max="13" width="9.88671875" style="128" bestFit="1" customWidth="1"/>
    <col min="14" max="14" width="0.88671875" style="128" customWidth="1"/>
    <col min="15" max="16384" width="8.88671875" style="129"/>
  </cols>
  <sheetData>
    <row r="1" spans="1:15" s="118" customFormat="1" ht="13.5" x14ac:dyDescent="0.15">
      <c r="A1" s="119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</row>
    <row r="2" spans="1:15" s="122" customFormat="1" ht="11.25" x14ac:dyDescent="0.15">
      <c r="A2" s="130" t="s">
        <v>191</v>
      </c>
      <c r="B2" s="121"/>
      <c r="C2" s="274" t="s">
        <v>192</v>
      </c>
      <c r="D2" s="274"/>
      <c r="E2" s="274"/>
      <c r="F2" s="274"/>
      <c r="G2" s="274"/>
      <c r="H2" s="274"/>
      <c r="I2" s="274"/>
      <c r="J2" s="121"/>
      <c r="K2" s="120" t="s">
        <v>193</v>
      </c>
      <c r="L2" s="121"/>
      <c r="M2" s="120" t="s">
        <v>194</v>
      </c>
      <c r="N2" s="121"/>
    </row>
    <row r="3" spans="1:15" s="124" customFormat="1" x14ac:dyDescent="0.15">
      <c r="A3" s="132"/>
      <c r="B3" s="123"/>
      <c r="C3" s="123"/>
      <c r="D3" s="123"/>
      <c r="E3" s="123"/>
      <c r="F3" s="123"/>
      <c r="G3" s="123"/>
      <c r="H3" s="123"/>
      <c r="I3" s="123"/>
      <c r="J3" s="123"/>
      <c r="K3" s="126"/>
      <c r="L3" s="123"/>
      <c r="M3" s="123"/>
      <c r="N3" s="123"/>
    </row>
    <row r="4" spans="1:15" s="124" customFormat="1" x14ac:dyDescent="0.15">
      <c r="A4" s="132">
        <v>1</v>
      </c>
      <c r="B4" s="123"/>
      <c r="C4" s="123" t="s">
        <v>267</v>
      </c>
      <c r="D4" s="123"/>
      <c r="E4" s="123"/>
      <c r="F4" s="123"/>
      <c r="G4" s="123"/>
      <c r="H4" s="123"/>
      <c r="I4" s="123"/>
      <c r="J4" s="123"/>
      <c r="K4" s="126"/>
      <c r="L4" s="123"/>
      <c r="M4" s="123"/>
      <c r="N4" s="123"/>
      <c r="O4" s="124" t="s">
        <v>298</v>
      </c>
    </row>
    <row r="5" spans="1:15" x14ac:dyDescent="0.15">
      <c r="C5" s="128" t="s">
        <v>202</v>
      </c>
      <c r="O5" s="129" t="s">
        <v>299</v>
      </c>
    </row>
    <row r="6" spans="1:15" x14ac:dyDescent="0.15">
      <c r="C6" s="128" t="s">
        <v>203</v>
      </c>
      <c r="O6" s="129" t="s">
        <v>298</v>
      </c>
    </row>
    <row r="7" spans="1:15" s="124" customFormat="1" x14ac:dyDescent="0.15">
      <c r="A7" s="132"/>
      <c r="B7" s="123"/>
      <c r="C7" s="123"/>
      <c r="D7" s="123"/>
      <c r="E7" s="123"/>
      <c r="F7" s="123"/>
      <c r="G7" s="123"/>
      <c r="H7" s="123"/>
      <c r="I7" s="123"/>
      <c r="J7" s="123"/>
      <c r="K7" s="126"/>
      <c r="L7" s="123"/>
      <c r="M7" s="123"/>
      <c r="N7" s="123"/>
    </row>
    <row r="8" spans="1:15" s="199" customFormat="1" x14ac:dyDescent="0.15">
      <c r="A8" s="196">
        <v>2</v>
      </c>
      <c r="B8" s="197"/>
      <c r="C8" s="197" t="s">
        <v>273</v>
      </c>
      <c r="D8" s="197"/>
      <c r="E8" s="197"/>
      <c r="F8" s="197"/>
      <c r="G8" s="197"/>
      <c r="H8" s="197"/>
      <c r="I8" s="197"/>
      <c r="J8" s="197"/>
      <c r="K8" s="198" t="s">
        <v>189</v>
      </c>
      <c r="L8" s="197"/>
      <c r="M8" s="197" t="s">
        <v>204</v>
      </c>
      <c r="N8" s="197"/>
    </row>
    <row r="9" spans="1:15" s="199" customFormat="1" x14ac:dyDescent="0.15">
      <c r="A9" s="196"/>
      <c r="B9" s="197"/>
      <c r="C9" s="202" t="s">
        <v>274</v>
      </c>
      <c r="D9" s="197"/>
      <c r="E9" s="197"/>
      <c r="F9" s="197"/>
      <c r="G9" s="197"/>
      <c r="H9" s="197"/>
      <c r="I9" s="197"/>
      <c r="J9" s="197"/>
      <c r="K9" s="198" t="s">
        <v>189</v>
      </c>
      <c r="L9" s="197"/>
      <c r="M9" s="197" t="s">
        <v>204</v>
      </c>
      <c r="N9" s="197"/>
    </row>
    <row r="10" spans="1:15" s="199" customFormat="1" x14ac:dyDescent="0.15">
      <c r="A10" s="196"/>
      <c r="B10" s="197"/>
      <c r="C10" s="197" t="s">
        <v>268</v>
      </c>
      <c r="D10" s="197"/>
      <c r="E10" s="197"/>
      <c r="F10" s="197"/>
      <c r="G10" s="197"/>
      <c r="H10" s="197"/>
      <c r="I10" s="197"/>
      <c r="J10" s="197"/>
      <c r="K10" s="198" t="s">
        <v>189</v>
      </c>
      <c r="L10" s="197"/>
      <c r="M10" s="197" t="s">
        <v>204</v>
      </c>
      <c r="N10" s="197"/>
    </row>
    <row r="11" spans="1:15" s="199" customFormat="1" x14ac:dyDescent="0.15">
      <c r="A11" s="200"/>
      <c r="B11" s="197"/>
      <c r="C11" s="197" t="s">
        <v>269</v>
      </c>
      <c r="D11" s="197"/>
      <c r="E11" s="197"/>
      <c r="F11" s="197"/>
      <c r="G11" s="197"/>
      <c r="H11" s="197"/>
      <c r="I11" s="197"/>
      <c r="J11" s="197"/>
      <c r="K11" s="198" t="s">
        <v>189</v>
      </c>
      <c r="L11" s="197"/>
      <c r="M11" s="197" t="s">
        <v>204</v>
      </c>
      <c r="N11" s="197"/>
    </row>
    <row r="12" spans="1:15" s="199" customFormat="1" x14ac:dyDescent="0.15">
      <c r="A12" s="200"/>
      <c r="B12" s="197"/>
      <c r="C12" s="197" t="s">
        <v>270</v>
      </c>
      <c r="D12" s="197"/>
      <c r="E12" s="197"/>
      <c r="F12" s="197"/>
      <c r="G12" s="197"/>
      <c r="H12" s="197"/>
      <c r="I12" s="197"/>
      <c r="J12" s="197"/>
      <c r="K12" s="201" t="s">
        <v>189</v>
      </c>
      <c r="L12" s="197"/>
      <c r="M12" s="197" t="s">
        <v>204</v>
      </c>
      <c r="N12" s="197"/>
    </row>
    <row r="13" spans="1:15" s="199" customFormat="1" x14ac:dyDescent="0.15">
      <c r="A13" s="200"/>
      <c r="B13" s="197"/>
      <c r="C13" s="197" t="s">
        <v>264</v>
      </c>
      <c r="D13" s="197"/>
      <c r="E13" s="197"/>
      <c r="F13" s="197"/>
      <c r="G13" s="197"/>
      <c r="H13" s="197"/>
      <c r="I13" s="197"/>
      <c r="J13" s="197"/>
      <c r="K13" s="201" t="s">
        <v>189</v>
      </c>
      <c r="L13" s="197"/>
      <c r="M13" s="197" t="s">
        <v>204</v>
      </c>
      <c r="N13" s="197"/>
    </row>
    <row r="14" spans="1:15" s="124" customFormat="1" x14ac:dyDescent="0.15">
      <c r="A14" s="131"/>
      <c r="B14" s="123"/>
      <c r="C14" s="123"/>
      <c r="D14" s="123"/>
      <c r="E14" s="123"/>
      <c r="F14" s="123"/>
      <c r="G14" s="123"/>
      <c r="H14" s="123"/>
      <c r="I14" s="123"/>
      <c r="J14" s="123"/>
      <c r="K14" s="125"/>
      <c r="L14" s="123"/>
      <c r="M14" s="123"/>
      <c r="N14" s="123"/>
    </row>
    <row r="15" spans="1:15" s="124" customFormat="1" x14ac:dyDescent="0.15">
      <c r="A15" s="200">
        <v>3</v>
      </c>
      <c r="B15" s="197"/>
      <c r="C15" s="197" t="s">
        <v>277</v>
      </c>
      <c r="D15" s="197"/>
      <c r="E15" s="197"/>
      <c r="F15" s="197"/>
      <c r="G15" s="197"/>
      <c r="H15" s="197"/>
      <c r="I15" s="197"/>
      <c r="J15" s="197"/>
      <c r="K15" s="201"/>
      <c r="L15" s="197"/>
      <c r="M15" s="197" t="s">
        <v>204</v>
      </c>
      <c r="N15" s="197"/>
    </row>
    <row r="16" spans="1:15" s="124" customFormat="1" x14ac:dyDescent="0.15">
      <c r="A16" s="131"/>
      <c r="B16" s="123"/>
      <c r="C16" s="123" t="s">
        <v>276</v>
      </c>
      <c r="D16" s="123"/>
      <c r="E16" s="123"/>
      <c r="F16" s="123"/>
      <c r="G16" s="123"/>
      <c r="H16" s="123"/>
      <c r="I16" s="123"/>
      <c r="J16" s="123"/>
      <c r="K16" s="125"/>
      <c r="L16" s="123"/>
      <c r="M16" s="123"/>
      <c r="N16" s="123"/>
    </row>
    <row r="17" spans="1:14" s="124" customFormat="1" x14ac:dyDescent="0.15">
      <c r="A17" s="131"/>
      <c r="B17" s="123"/>
      <c r="C17" s="123" t="s">
        <v>190</v>
      </c>
      <c r="D17" s="123"/>
      <c r="E17" s="123"/>
      <c r="F17" s="123"/>
      <c r="G17" s="123"/>
      <c r="H17" s="123"/>
      <c r="I17" s="123"/>
      <c r="J17" s="123"/>
      <c r="K17" s="125"/>
      <c r="L17" s="123"/>
      <c r="M17" s="123"/>
      <c r="N17" s="123"/>
    </row>
    <row r="18" spans="1:14" x14ac:dyDescent="0.15">
      <c r="C18" s="128" t="s">
        <v>206</v>
      </c>
      <c r="K18" s="123"/>
    </row>
    <row r="19" spans="1:14" s="124" customFormat="1" x14ac:dyDescent="0.15">
      <c r="A19" s="131"/>
      <c r="B19" s="123"/>
      <c r="C19" s="123" t="s">
        <v>200</v>
      </c>
      <c r="D19" s="123"/>
      <c r="E19" s="123"/>
      <c r="F19" s="123"/>
      <c r="G19" s="123"/>
      <c r="H19" s="123"/>
      <c r="I19" s="123"/>
      <c r="J19" s="123"/>
      <c r="K19" s="125"/>
      <c r="M19" s="123"/>
      <c r="N19" s="123"/>
    </row>
    <row r="20" spans="1:14" s="124" customFormat="1" x14ac:dyDescent="0.15">
      <c r="A20" s="131"/>
      <c r="B20" s="123"/>
      <c r="C20" s="123" t="s">
        <v>201</v>
      </c>
      <c r="D20" s="123"/>
      <c r="E20" s="123"/>
      <c r="F20" s="123"/>
      <c r="G20" s="123"/>
      <c r="H20" s="123"/>
      <c r="I20" s="123"/>
      <c r="J20" s="123"/>
      <c r="K20" s="125"/>
      <c r="L20" s="123"/>
      <c r="M20" s="123"/>
      <c r="N20" s="123"/>
    </row>
    <row r="21" spans="1:14" s="124" customFormat="1" x14ac:dyDescent="0.15">
      <c r="A21" s="131"/>
      <c r="B21" s="123"/>
      <c r="C21" s="123"/>
      <c r="D21" s="123"/>
      <c r="E21" s="123"/>
      <c r="F21" s="123"/>
      <c r="G21" s="123"/>
      <c r="H21" s="123"/>
      <c r="I21" s="123"/>
      <c r="J21" s="123"/>
      <c r="K21" s="125"/>
      <c r="L21" s="123"/>
      <c r="M21" s="123"/>
      <c r="N21" s="123"/>
    </row>
    <row r="22" spans="1:14" s="124" customFormat="1" x14ac:dyDescent="0.15">
      <c r="A22" s="131">
        <v>4</v>
      </c>
      <c r="B22" s="123"/>
      <c r="C22" s="123" t="s">
        <v>265</v>
      </c>
      <c r="D22" s="123"/>
      <c r="E22" s="123"/>
      <c r="F22" s="123"/>
      <c r="G22" s="123"/>
      <c r="H22" s="123"/>
      <c r="I22" s="123"/>
      <c r="J22" s="123"/>
      <c r="K22" s="126" t="s">
        <v>189</v>
      </c>
      <c r="L22" s="123"/>
      <c r="M22" s="123"/>
      <c r="N22" s="123"/>
    </row>
    <row r="23" spans="1:14" s="124" customFormat="1" x14ac:dyDescent="0.15">
      <c r="A23" s="131"/>
      <c r="B23" s="123"/>
      <c r="C23" s="123"/>
      <c r="D23" s="123"/>
      <c r="E23" s="123"/>
      <c r="F23" s="123"/>
      <c r="G23" s="123"/>
      <c r="H23" s="123"/>
      <c r="I23" s="123"/>
      <c r="J23" s="123"/>
      <c r="K23" s="126"/>
      <c r="L23" s="123"/>
      <c r="M23" s="123"/>
      <c r="N23" s="123"/>
    </row>
    <row r="24" spans="1:14" s="124" customFormat="1" x14ac:dyDescent="0.15">
      <c r="A24" s="131">
        <v>5</v>
      </c>
      <c r="B24" s="123"/>
      <c r="C24" s="123" t="s">
        <v>195</v>
      </c>
      <c r="D24" s="123"/>
      <c r="E24" s="123"/>
      <c r="F24" s="123"/>
      <c r="G24" s="123"/>
      <c r="H24" s="123"/>
      <c r="I24" s="123"/>
      <c r="J24" s="123"/>
      <c r="K24" s="125"/>
      <c r="L24" s="123"/>
      <c r="M24" s="127"/>
      <c r="N24" s="123"/>
    </row>
    <row r="25" spans="1:14" s="124" customFormat="1" x14ac:dyDescent="0.15">
      <c r="A25" s="131"/>
      <c r="B25" s="123"/>
      <c r="C25" s="123"/>
      <c r="D25" s="123"/>
      <c r="E25" s="123"/>
      <c r="F25" s="123"/>
      <c r="G25" s="123"/>
      <c r="H25" s="123"/>
      <c r="I25" s="123"/>
      <c r="J25" s="123"/>
      <c r="K25" s="126"/>
      <c r="L25" s="123"/>
      <c r="M25" s="123"/>
      <c r="N25" s="123"/>
    </row>
    <row r="26" spans="1:14" s="199" customFormat="1" x14ac:dyDescent="0.15">
      <c r="A26" s="200">
        <v>6</v>
      </c>
      <c r="B26" s="197"/>
      <c r="C26" s="197" t="s">
        <v>271</v>
      </c>
      <c r="D26" s="197"/>
      <c r="E26" s="197"/>
      <c r="F26" s="197"/>
      <c r="G26" s="197"/>
      <c r="H26" s="197"/>
      <c r="I26" s="197"/>
      <c r="J26" s="197"/>
      <c r="K26" s="201" t="s">
        <v>189</v>
      </c>
      <c r="L26" s="197"/>
      <c r="M26" s="197" t="s">
        <v>204</v>
      </c>
      <c r="N26" s="197"/>
    </row>
    <row r="27" spans="1:14" s="199" customFormat="1" x14ac:dyDescent="0.15">
      <c r="A27" s="200"/>
      <c r="B27" s="197"/>
      <c r="C27" s="197" t="s">
        <v>272</v>
      </c>
      <c r="D27" s="197"/>
      <c r="E27" s="197"/>
      <c r="F27" s="197"/>
      <c r="G27" s="197"/>
      <c r="H27" s="197"/>
      <c r="I27" s="197"/>
      <c r="J27" s="197"/>
      <c r="K27" s="201" t="s">
        <v>189</v>
      </c>
      <c r="L27" s="197"/>
      <c r="M27" s="197" t="s">
        <v>204</v>
      </c>
      <c r="N27" s="197"/>
    </row>
    <row r="28" spans="1:14" s="124" customFormat="1" x14ac:dyDescent="0.15">
      <c r="A28" s="131"/>
      <c r="B28" s="123"/>
      <c r="C28" s="123" t="s">
        <v>205</v>
      </c>
      <c r="D28" s="123"/>
      <c r="E28" s="123"/>
      <c r="F28" s="123"/>
      <c r="G28" s="123"/>
      <c r="H28" s="123"/>
      <c r="I28" s="123"/>
      <c r="J28" s="123"/>
      <c r="K28" s="126"/>
      <c r="L28" s="123"/>
      <c r="M28" s="123"/>
      <c r="N28" s="123"/>
    </row>
    <row r="29" spans="1:14" s="124" customFormat="1" x14ac:dyDescent="0.15">
      <c r="A29" s="131"/>
      <c r="B29" s="123"/>
      <c r="C29" s="123"/>
      <c r="D29" s="123"/>
      <c r="E29" s="123"/>
      <c r="F29" s="123"/>
      <c r="G29" s="123"/>
      <c r="H29" s="123"/>
      <c r="I29" s="123"/>
      <c r="J29" s="123"/>
      <c r="K29" s="126"/>
      <c r="L29" s="123"/>
      <c r="M29" s="123"/>
      <c r="N29" s="123"/>
    </row>
    <row r="30" spans="1:14" s="124" customFormat="1" x14ac:dyDescent="0.15">
      <c r="A30" s="131">
        <v>7</v>
      </c>
      <c r="B30" s="123"/>
      <c r="C30" s="123" t="s">
        <v>196</v>
      </c>
      <c r="D30" s="123"/>
      <c r="E30" s="123"/>
      <c r="F30" s="123"/>
      <c r="G30" s="123"/>
      <c r="H30" s="123"/>
      <c r="I30" s="123"/>
      <c r="J30" s="123"/>
      <c r="K30" s="125"/>
      <c r="L30" s="123"/>
      <c r="M30" s="123"/>
      <c r="N30" s="123"/>
    </row>
    <row r="31" spans="1:14" s="124" customFormat="1" x14ac:dyDescent="0.15">
      <c r="A31" s="131"/>
      <c r="B31" s="123"/>
      <c r="C31" s="123" t="s">
        <v>197</v>
      </c>
      <c r="D31" s="123"/>
      <c r="E31" s="123"/>
      <c r="F31" s="123"/>
      <c r="G31" s="123"/>
      <c r="H31" s="123"/>
      <c r="I31" s="123"/>
      <c r="J31" s="123"/>
      <c r="K31" s="125"/>
      <c r="L31" s="123"/>
      <c r="M31" s="123"/>
      <c r="N31" s="123"/>
    </row>
    <row r="32" spans="1:14" s="124" customFormat="1" x14ac:dyDescent="0.15">
      <c r="A32" s="131"/>
      <c r="B32" s="123"/>
      <c r="C32" s="123" t="s">
        <v>198</v>
      </c>
      <c r="D32" s="123"/>
      <c r="E32" s="123"/>
      <c r="F32" s="123"/>
      <c r="G32" s="123"/>
      <c r="H32" s="123"/>
      <c r="I32" s="123"/>
      <c r="J32" s="123"/>
      <c r="K32" s="125"/>
      <c r="L32" s="123"/>
      <c r="M32" s="123"/>
      <c r="N32" s="123"/>
    </row>
    <row r="33" spans="1:14" s="124" customFormat="1" x14ac:dyDescent="0.15">
      <c r="A33" s="131"/>
      <c r="B33" s="123"/>
      <c r="C33" s="123"/>
      <c r="D33" s="123"/>
      <c r="E33" s="123"/>
      <c r="F33" s="123"/>
      <c r="G33" s="123"/>
      <c r="H33" s="123"/>
      <c r="I33" s="123"/>
      <c r="J33" s="123"/>
      <c r="K33" s="125"/>
      <c r="L33" s="123"/>
      <c r="M33" s="123"/>
      <c r="N33" s="123"/>
    </row>
    <row r="34" spans="1:14" s="124" customFormat="1" x14ac:dyDescent="0.15">
      <c r="A34" s="131">
        <v>8</v>
      </c>
      <c r="B34" s="123"/>
      <c r="C34" s="123" t="s">
        <v>275</v>
      </c>
      <c r="D34" s="123"/>
      <c r="E34" s="123"/>
      <c r="F34" s="123"/>
      <c r="G34" s="123"/>
      <c r="H34" s="123"/>
      <c r="I34" s="123"/>
      <c r="J34" s="123"/>
      <c r="K34" s="125"/>
      <c r="L34" s="123"/>
      <c r="M34" s="123"/>
      <c r="N34" s="123"/>
    </row>
    <row r="35" spans="1:14" s="124" customFormat="1" x14ac:dyDescent="0.15">
      <c r="A35" s="131"/>
      <c r="B35" s="123"/>
      <c r="C35" s="123"/>
      <c r="D35" s="123"/>
      <c r="E35" s="123"/>
      <c r="F35" s="123"/>
      <c r="G35" s="123"/>
      <c r="H35" s="123"/>
      <c r="I35" s="123"/>
      <c r="J35" s="123"/>
      <c r="K35" s="125"/>
      <c r="L35" s="123"/>
      <c r="M35" s="123"/>
      <c r="N35" s="123"/>
    </row>
    <row r="36" spans="1:14" s="124" customFormat="1" x14ac:dyDescent="0.15">
      <c r="A36" s="131">
        <v>9</v>
      </c>
      <c r="B36" s="123"/>
      <c r="C36" s="123" t="s">
        <v>266</v>
      </c>
      <c r="D36" s="123"/>
      <c r="E36" s="123"/>
      <c r="F36" s="123"/>
      <c r="G36" s="123"/>
      <c r="H36" s="123"/>
      <c r="I36" s="123"/>
      <c r="J36" s="123"/>
      <c r="K36" s="125" t="s">
        <v>189</v>
      </c>
      <c r="L36" s="123"/>
      <c r="M36" s="123"/>
      <c r="N36" s="123"/>
    </row>
    <row r="37" spans="1:14" s="124" customFormat="1" x14ac:dyDescent="0.15">
      <c r="A37" s="131"/>
      <c r="B37" s="123"/>
      <c r="C37" s="123"/>
      <c r="D37" s="123"/>
      <c r="E37" s="123"/>
      <c r="F37" s="123"/>
      <c r="G37" s="123"/>
      <c r="H37" s="123"/>
      <c r="I37" s="123"/>
      <c r="J37" s="123"/>
      <c r="K37" s="125"/>
      <c r="L37" s="123"/>
      <c r="M37" s="123"/>
      <c r="N37" s="123"/>
    </row>
    <row r="38" spans="1:14" s="124" customFormat="1" x14ac:dyDescent="0.15">
      <c r="A38" s="131">
        <v>10</v>
      </c>
      <c r="B38" s="123"/>
      <c r="C38" s="123" t="s">
        <v>199</v>
      </c>
      <c r="D38" s="123"/>
      <c r="E38" s="123"/>
      <c r="F38" s="123"/>
      <c r="G38" s="123"/>
      <c r="H38" s="123"/>
      <c r="I38" s="123"/>
      <c r="J38" s="123"/>
      <c r="K38" s="126" t="s">
        <v>189</v>
      </c>
      <c r="L38" s="123"/>
      <c r="M38" s="123"/>
      <c r="N38" s="123"/>
    </row>
    <row r="39" spans="1:14" s="124" customFormat="1" x14ac:dyDescent="0.15">
      <c r="A39" s="131"/>
      <c r="B39" s="123"/>
      <c r="C39" s="123" t="s">
        <v>213</v>
      </c>
      <c r="D39" s="123"/>
      <c r="E39" s="123"/>
      <c r="F39" s="123"/>
      <c r="G39" s="123"/>
      <c r="H39" s="123"/>
      <c r="I39" s="123"/>
      <c r="J39" s="123"/>
      <c r="K39" s="126"/>
      <c r="L39" s="123"/>
      <c r="M39" s="123"/>
      <c r="N39" s="123"/>
    </row>
    <row r="40" spans="1:14" s="124" customFormat="1" x14ac:dyDescent="0.15">
      <c r="A40" s="131"/>
      <c r="B40" s="123"/>
      <c r="C40" s="123"/>
      <c r="D40" s="123"/>
      <c r="E40" s="123"/>
      <c r="F40" s="123"/>
      <c r="G40" s="123"/>
      <c r="H40" s="123"/>
      <c r="I40" s="123"/>
      <c r="J40" s="123"/>
      <c r="K40" s="126"/>
      <c r="L40" s="123"/>
      <c r="M40" s="123"/>
      <c r="N40" s="123"/>
    </row>
    <row r="41" spans="1:14" x14ac:dyDescent="0.15">
      <c r="A41" s="133">
        <v>11</v>
      </c>
      <c r="C41" s="128" t="s">
        <v>147</v>
      </c>
    </row>
    <row r="42" spans="1:14" x14ac:dyDescent="0.15">
      <c r="C42" s="128" t="s">
        <v>207</v>
      </c>
    </row>
    <row r="43" spans="1:14" x14ac:dyDescent="0.15">
      <c r="C43" s="128" t="s">
        <v>209</v>
      </c>
    </row>
    <row r="44" spans="1:14" x14ac:dyDescent="0.15">
      <c r="C44" s="128" t="s">
        <v>208</v>
      </c>
    </row>
  </sheetData>
  <mergeCells count="1">
    <mergeCell ref="C2:I2"/>
  </mergeCells>
  <phoneticPr fontId="2" type="noConversion"/>
  <pageMargins left="0.75" right="0.75" top="1" bottom="1" header="0.5" footer="0.5"/>
  <pageSetup paperSize="9" scale="9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B1:J167"/>
  <sheetViews>
    <sheetView view="pageBreakPreview" zoomScaleNormal="100" zoomScaleSheetLayoutView="100" workbookViewId="0">
      <selection activeCell="F173" sqref="F173"/>
    </sheetView>
  </sheetViews>
  <sheetFormatPr defaultColWidth="8.88671875" defaultRowHeight="17.25" x14ac:dyDescent="0.15"/>
  <cols>
    <col min="1" max="1" width="2.5546875" style="5" customWidth="1"/>
    <col min="2" max="2" width="15.77734375" style="5" customWidth="1"/>
    <col min="3" max="3" width="17.6640625" style="5" customWidth="1"/>
    <col min="4" max="8" width="14.21875" style="5" customWidth="1"/>
    <col min="9" max="9" width="19.88671875" style="5" customWidth="1"/>
    <col min="10" max="10" width="19.5546875" style="5" customWidth="1"/>
    <col min="11" max="16384" width="8.88671875" style="5"/>
  </cols>
  <sheetData>
    <row r="1" spans="2:9" x14ac:dyDescent="0.15">
      <c r="B1" s="4" t="s">
        <v>81</v>
      </c>
    </row>
    <row r="4" spans="2:9" x14ac:dyDescent="0.15">
      <c r="B4" s="4" t="s">
        <v>82</v>
      </c>
      <c r="C4" s="5" t="s">
        <v>282</v>
      </c>
      <c r="D4" s="15"/>
    </row>
    <row r="7" spans="2:9" x14ac:dyDescent="0.15">
      <c r="B7" s="4" t="s">
        <v>83</v>
      </c>
    </row>
    <row r="9" spans="2:9" ht="15" customHeight="1" x14ac:dyDescent="0.15">
      <c r="B9" s="281" t="s">
        <v>60</v>
      </c>
      <c r="C9" s="281"/>
      <c r="D9" s="281" t="s">
        <v>75</v>
      </c>
      <c r="E9" s="281"/>
      <c r="F9" s="281"/>
      <c r="G9" s="281"/>
      <c r="H9" s="281"/>
      <c r="I9" s="281"/>
    </row>
    <row r="10" spans="2:9" ht="15" customHeight="1" x14ac:dyDescent="0.15">
      <c r="B10" s="335" t="s">
        <v>61</v>
      </c>
      <c r="C10" s="335"/>
      <c r="D10" s="282" t="s">
        <v>283</v>
      </c>
      <c r="E10" s="282"/>
      <c r="F10" s="282"/>
      <c r="G10" s="282"/>
      <c r="H10" s="282"/>
      <c r="I10" s="282"/>
    </row>
    <row r="11" spans="2:9" ht="15" customHeight="1" x14ac:dyDescent="0.15">
      <c r="B11" s="335" t="s">
        <v>62</v>
      </c>
      <c r="C11" s="335"/>
      <c r="D11" s="282" t="s">
        <v>284</v>
      </c>
      <c r="E11" s="282"/>
      <c r="F11" s="282"/>
      <c r="G11" s="282"/>
      <c r="H11" s="282"/>
      <c r="I11" s="282"/>
    </row>
    <row r="12" spans="2:9" ht="15" customHeight="1" x14ac:dyDescent="0.15">
      <c r="B12" s="335" t="s">
        <v>63</v>
      </c>
      <c r="C12" s="335"/>
      <c r="D12" s="282" t="s">
        <v>285</v>
      </c>
      <c r="E12" s="282"/>
      <c r="F12" s="282"/>
      <c r="G12" s="282"/>
      <c r="H12" s="282"/>
      <c r="I12" s="282"/>
    </row>
    <row r="13" spans="2:9" ht="15" customHeight="1" x14ac:dyDescent="0.15">
      <c r="B13" s="335" t="s">
        <v>64</v>
      </c>
      <c r="C13" s="335"/>
      <c r="D13" s="282" t="s">
        <v>286</v>
      </c>
      <c r="E13" s="282"/>
      <c r="F13" s="282"/>
      <c r="G13" s="282"/>
      <c r="H13" s="282"/>
      <c r="I13" s="282"/>
    </row>
    <row r="14" spans="2:9" ht="15" customHeight="1" x14ac:dyDescent="0.15">
      <c r="B14" s="335" t="s">
        <v>65</v>
      </c>
      <c r="C14" s="335"/>
      <c r="D14" s="283" t="s">
        <v>287</v>
      </c>
      <c r="E14" s="283"/>
      <c r="F14" s="283"/>
      <c r="G14" s="283"/>
      <c r="H14" s="283"/>
      <c r="I14" s="283"/>
    </row>
    <row r="15" spans="2:9" ht="15" customHeight="1" x14ac:dyDescent="0.15">
      <c r="B15" s="335" t="s">
        <v>66</v>
      </c>
      <c r="C15" s="335"/>
      <c r="D15" s="282" t="s">
        <v>288</v>
      </c>
      <c r="E15" s="282"/>
      <c r="F15" s="282"/>
      <c r="G15" s="282"/>
      <c r="H15" s="282"/>
      <c r="I15" s="282"/>
    </row>
    <row r="16" spans="2:9" ht="15" customHeight="1" x14ac:dyDescent="0.15">
      <c r="B16" s="335" t="s">
        <v>67</v>
      </c>
      <c r="C16" s="335"/>
      <c r="D16" s="282" t="s">
        <v>289</v>
      </c>
      <c r="E16" s="282"/>
      <c r="F16" s="282"/>
      <c r="G16" s="282"/>
      <c r="H16" s="282"/>
      <c r="I16" s="282"/>
    </row>
    <row r="17" spans="2:9" ht="15" customHeight="1" x14ac:dyDescent="0.15">
      <c r="B17" s="335" t="s">
        <v>68</v>
      </c>
      <c r="C17" s="335"/>
      <c r="D17" s="282" t="s">
        <v>293</v>
      </c>
      <c r="E17" s="282"/>
      <c r="F17" s="282"/>
      <c r="G17" s="282"/>
      <c r="H17" s="282"/>
      <c r="I17" s="282"/>
    </row>
    <row r="18" spans="2:9" ht="15" customHeight="1" x14ac:dyDescent="0.15">
      <c r="B18" s="335" t="s">
        <v>69</v>
      </c>
      <c r="C18" s="335"/>
      <c r="D18" s="282" t="s">
        <v>294</v>
      </c>
      <c r="E18" s="282"/>
      <c r="F18" s="282"/>
      <c r="G18" s="282"/>
      <c r="H18" s="282"/>
      <c r="I18" s="282"/>
    </row>
    <row r="19" spans="2:9" ht="15" customHeight="1" x14ac:dyDescent="0.15">
      <c r="B19" s="335" t="s">
        <v>70</v>
      </c>
      <c r="C19" s="335"/>
      <c r="D19" s="282" t="s">
        <v>290</v>
      </c>
      <c r="E19" s="282"/>
      <c r="F19" s="282"/>
      <c r="G19" s="282"/>
      <c r="H19" s="282"/>
      <c r="I19" s="282"/>
    </row>
    <row r="20" spans="2:9" ht="15" customHeight="1" x14ac:dyDescent="0.15">
      <c r="B20" s="335" t="s">
        <v>71</v>
      </c>
      <c r="C20" s="335"/>
      <c r="D20" s="282" t="s">
        <v>291</v>
      </c>
      <c r="E20" s="282"/>
      <c r="F20" s="282"/>
      <c r="G20" s="282"/>
      <c r="H20" s="282"/>
      <c r="I20" s="282"/>
    </row>
    <row r="21" spans="2:9" ht="15" customHeight="1" x14ac:dyDescent="0.15">
      <c r="B21" s="335" t="s">
        <v>72</v>
      </c>
      <c r="C21" s="335"/>
      <c r="D21" s="282" t="s">
        <v>292</v>
      </c>
      <c r="E21" s="282"/>
      <c r="F21" s="282"/>
      <c r="G21" s="282"/>
      <c r="H21" s="282"/>
      <c r="I21" s="282"/>
    </row>
    <row r="22" spans="2:9" ht="15" customHeight="1" x14ac:dyDescent="0.15">
      <c r="B22" s="335" t="s">
        <v>73</v>
      </c>
      <c r="C22" s="335"/>
      <c r="D22" s="282" t="s">
        <v>292</v>
      </c>
      <c r="E22" s="282"/>
      <c r="F22" s="282"/>
      <c r="G22" s="282"/>
      <c r="H22" s="282"/>
      <c r="I22" s="282"/>
    </row>
    <row r="23" spans="2:9" ht="15" customHeight="1" x14ac:dyDescent="0.15">
      <c r="B23" s="335" t="s">
        <v>74</v>
      </c>
      <c r="C23" s="335"/>
      <c r="D23" s="282" t="s">
        <v>292</v>
      </c>
      <c r="E23" s="282"/>
      <c r="F23" s="282"/>
      <c r="G23" s="282"/>
      <c r="H23" s="282"/>
      <c r="I23" s="282"/>
    </row>
    <row r="24" spans="2:9" ht="15" customHeight="1" x14ac:dyDescent="0.15">
      <c r="B24" s="16"/>
      <c r="C24" s="16"/>
      <c r="D24" s="16"/>
      <c r="E24" s="16"/>
      <c r="F24" s="16"/>
      <c r="G24" s="16"/>
      <c r="H24" s="16"/>
      <c r="I24" s="16"/>
    </row>
    <row r="26" spans="2:9" x14ac:dyDescent="0.15">
      <c r="B26" s="4" t="s">
        <v>255</v>
      </c>
    </row>
    <row r="28" spans="2:9" x14ac:dyDescent="0.15">
      <c r="B28" s="188" t="s">
        <v>84</v>
      </c>
      <c r="C28" s="188" t="s">
        <v>85</v>
      </c>
      <c r="D28" s="188" t="s">
        <v>86</v>
      </c>
      <c r="E28" s="188" t="s">
        <v>87</v>
      </c>
      <c r="F28" s="188" t="s">
        <v>88</v>
      </c>
      <c r="G28" s="188" t="s">
        <v>89</v>
      </c>
      <c r="H28" s="188" t="s">
        <v>90</v>
      </c>
    </row>
    <row r="29" spans="2:9" x14ac:dyDescent="0.15">
      <c r="B29" s="110">
        <v>1</v>
      </c>
      <c r="C29" s="265" t="s">
        <v>415</v>
      </c>
      <c r="D29" s="266">
        <v>2200000</v>
      </c>
      <c r="E29" s="266"/>
      <c r="F29" s="266"/>
      <c r="G29" s="266"/>
      <c r="H29" s="266">
        <f>SUM(D29:G29)</f>
        <v>2200000</v>
      </c>
    </row>
    <row r="30" spans="2:9" x14ac:dyDescent="0.15">
      <c r="B30" s="110">
        <v>2</v>
      </c>
      <c r="C30" s="265" t="s">
        <v>416</v>
      </c>
      <c r="D30" s="266">
        <v>3300000</v>
      </c>
      <c r="E30" s="266"/>
      <c r="F30" s="266"/>
      <c r="G30" s="266"/>
      <c r="H30" s="266">
        <f t="shared" ref="H30:H31" si="0">SUM(D30:G30)</f>
        <v>3300000</v>
      </c>
    </row>
    <row r="31" spans="2:9" x14ac:dyDescent="0.15">
      <c r="B31" s="110">
        <v>3</v>
      </c>
      <c r="C31" s="265" t="s">
        <v>417</v>
      </c>
      <c r="D31" s="266">
        <v>3840000</v>
      </c>
      <c r="E31" s="266">
        <v>10560000</v>
      </c>
      <c r="F31" s="266"/>
      <c r="G31" s="266"/>
      <c r="H31" s="266">
        <f t="shared" si="0"/>
        <v>14400000</v>
      </c>
    </row>
    <row r="32" spans="2:9" x14ac:dyDescent="0.15">
      <c r="B32" s="110" t="s">
        <v>0</v>
      </c>
      <c r="C32" s="17"/>
      <c r="D32" s="240">
        <f>SUM(D29:D31)</f>
        <v>9340000</v>
      </c>
      <c r="E32" s="240">
        <f>SUM(E29:E31)</f>
        <v>10560000</v>
      </c>
      <c r="F32" s="240">
        <f>SUM(F29:F31)</f>
        <v>0</v>
      </c>
      <c r="G32" s="240">
        <f>SUM(G29:G31)</f>
        <v>0</v>
      </c>
      <c r="H32" s="240">
        <f>SUM(H29:H31)</f>
        <v>19900000</v>
      </c>
      <c r="I32" s="115" t="s">
        <v>257</v>
      </c>
    </row>
    <row r="33" spans="2:9" x14ac:dyDescent="0.15">
      <c r="B33" s="23"/>
      <c r="I33" s="115"/>
    </row>
    <row r="35" spans="2:9" x14ac:dyDescent="0.15">
      <c r="B35" s="4" t="s">
        <v>256</v>
      </c>
    </row>
    <row r="36" spans="2:9" x14ac:dyDescent="0.15">
      <c r="B36" s="18" t="s">
        <v>91</v>
      </c>
      <c r="F36" s="18"/>
    </row>
    <row r="37" spans="2:9" x14ac:dyDescent="0.15">
      <c r="B37" s="18" t="s">
        <v>92</v>
      </c>
    </row>
    <row r="38" spans="2:9" x14ac:dyDescent="0.15">
      <c r="B38" s="5" t="s">
        <v>188</v>
      </c>
    </row>
    <row r="39" spans="2:9" x14ac:dyDescent="0.15">
      <c r="B39" s="5" t="s">
        <v>182</v>
      </c>
    </row>
    <row r="42" spans="2:9" x14ac:dyDescent="0.15">
      <c r="B42" s="4" t="s">
        <v>93</v>
      </c>
    </row>
    <row r="43" spans="2:9" x14ac:dyDescent="0.15">
      <c r="B43" s="19"/>
    </row>
    <row r="44" spans="2:9" x14ac:dyDescent="0.15">
      <c r="B44" s="188" t="s">
        <v>84</v>
      </c>
      <c r="C44" s="188" t="s">
        <v>94</v>
      </c>
    </row>
    <row r="45" spans="2:9" x14ac:dyDescent="0.15">
      <c r="B45" s="20" t="s">
        <v>95</v>
      </c>
      <c r="C45" s="17" t="s">
        <v>310</v>
      </c>
    </row>
    <row r="46" spans="2:9" x14ac:dyDescent="0.15">
      <c r="B46" s="20" t="s">
        <v>1</v>
      </c>
      <c r="C46" s="17" t="s">
        <v>382</v>
      </c>
    </row>
    <row r="47" spans="2:9" x14ac:dyDescent="0.15">
      <c r="B47" s="20" t="s">
        <v>2</v>
      </c>
      <c r="C47" s="17" t="s">
        <v>383</v>
      </c>
    </row>
    <row r="48" spans="2:9" x14ac:dyDescent="0.15">
      <c r="B48" s="21"/>
    </row>
    <row r="50" spans="2:8" x14ac:dyDescent="0.15">
      <c r="B50" s="22" t="s">
        <v>96</v>
      </c>
    </row>
    <row r="52" spans="2:8" x14ac:dyDescent="0.15">
      <c r="B52" s="394" t="s">
        <v>97</v>
      </c>
      <c r="C52" s="395" t="s">
        <v>98</v>
      </c>
      <c r="D52" s="396" t="s">
        <v>99</v>
      </c>
      <c r="E52" s="397"/>
      <c r="F52" s="398"/>
      <c r="G52" s="399" t="s">
        <v>100</v>
      </c>
    </row>
    <row r="53" spans="2:8" x14ac:dyDescent="0.15">
      <c r="B53" s="394"/>
      <c r="C53" s="394"/>
      <c r="D53" s="400" t="s">
        <v>214</v>
      </c>
      <c r="E53" s="400" t="s">
        <v>221</v>
      </c>
      <c r="F53" s="400" t="s">
        <v>258</v>
      </c>
      <c r="G53" s="339"/>
    </row>
    <row r="54" spans="2:8" x14ac:dyDescent="0.15">
      <c r="B54" s="402" t="s">
        <v>440</v>
      </c>
      <c r="C54" s="402" t="s">
        <v>441</v>
      </c>
      <c r="D54" s="403"/>
      <c r="E54" s="403">
        <v>26000000</v>
      </c>
      <c r="F54" s="403"/>
      <c r="G54" s="402" t="s">
        <v>439</v>
      </c>
      <c r="H54" s="401"/>
    </row>
    <row r="55" spans="2:8" x14ac:dyDescent="0.15">
      <c r="B55" s="402" t="s">
        <v>442</v>
      </c>
      <c r="C55" s="402" t="s">
        <v>443</v>
      </c>
      <c r="D55" s="403"/>
      <c r="E55" s="403">
        <v>15000000</v>
      </c>
      <c r="F55" s="403"/>
      <c r="G55" s="402" t="s">
        <v>439</v>
      </c>
      <c r="H55" s="401"/>
    </row>
    <row r="56" spans="2:8" x14ac:dyDescent="0.15">
      <c r="B56" s="402" t="s">
        <v>448</v>
      </c>
      <c r="C56" s="402" t="s">
        <v>449</v>
      </c>
      <c r="D56" s="403"/>
      <c r="E56" s="403">
        <v>15375000</v>
      </c>
      <c r="F56" s="403"/>
      <c r="G56" s="402" t="s">
        <v>439</v>
      </c>
      <c r="H56" s="401"/>
    </row>
    <row r="57" spans="2:8" x14ac:dyDescent="0.15">
      <c r="B57" s="402" t="s">
        <v>450</v>
      </c>
      <c r="C57" s="402" t="s">
        <v>451</v>
      </c>
      <c r="D57" s="403"/>
      <c r="E57" s="403">
        <v>15375000</v>
      </c>
      <c r="F57" s="403"/>
      <c r="G57" s="402" t="s">
        <v>439</v>
      </c>
      <c r="H57" s="401"/>
    </row>
    <row r="58" spans="2:8" x14ac:dyDescent="0.15">
      <c r="B58" s="402" t="s">
        <v>444</v>
      </c>
      <c r="C58" s="402" t="s">
        <v>445</v>
      </c>
      <c r="D58" s="403"/>
      <c r="E58" s="403">
        <v>2272727</v>
      </c>
      <c r="F58" s="403"/>
      <c r="G58" s="402" t="s">
        <v>439</v>
      </c>
      <c r="H58" s="401"/>
    </row>
    <row r="59" spans="2:8" x14ac:dyDescent="0.15">
      <c r="B59" s="402" t="s">
        <v>446</v>
      </c>
      <c r="C59" s="402" t="s">
        <v>447</v>
      </c>
      <c r="D59" s="403"/>
      <c r="E59" s="403">
        <v>5000000</v>
      </c>
      <c r="F59" s="403"/>
      <c r="G59" s="402" t="s">
        <v>439</v>
      </c>
      <c r="H59" s="401"/>
    </row>
    <row r="60" spans="2:8" x14ac:dyDescent="0.15">
      <c r="B60" s="402" t="s">
        <v>453</v>
      </c>
      <c r="C60" s="23" t="s">
        <v>455</v>
      </c>
      <c r="D60" s="403"/>
      <c r="E60" s="403"/>
      <c r="F60" s="403">
        <v>7090910</v>
      </c>
      <c r="G60" s="402" t="s">
        <v>439</v>
      </c>
      <c r="H60" s="401"/>
    </row>
    <row r="61" spans="2:8" x14ac:dyDescent="0.15">
      <c r="B61" s="402" t="s">
        <v>452</v>
      </c>
      <c r="C61" s="402" t="s">
        <v>454</v>
      </c>
      <c r="D61" s="403"/>
      <c r="E61" s="403"/>
      <c r="F61" s="403">
        <v>5000000</v>
      </c>
      <c r="G61" s="402" t="s">
        <v>439</v>
      </c>
      <c r="H61" s="401"/>
    </row>
    <row r="62" spans="2:8" x14ac:dyDescent="0.15">
      <c r="B62" s="23"/>
    </row>
    <row r="63" spans="2:8" x14ac:dyDescent="0.15">
      <c r="B63" s="4" t="s">
        <v>101</v>
      </c>
    </row>
    <row r="64" spans="2:8" x14ac:dyDescent="0.15">
      <c r="B64" s="4"/>
    </row>
    <row r="65" spans="2:8" x14ac:dyDescent="0.15">
      <c r="B65" s="188" t="s">
        <v>102</v>
      </c>
      <c r="C65" s="188" t="s">
        <v>103</v>
      </c>
      <c r="D65" s="188" t="s">
        <v>104</v>
      </c>
    </row>
    <row r="66" spans="2:8" x14ac:dyDescent="0.15">
      <c r="B66" s="110" t="s">
        <v>295</v>
      </c>
      <c r="C66" s="110" t="s">
        <v>296</v>
      </c>
      <c r="D66" s="110" t="s">
        <v>297</v>
      </c>
    </row>
    <row r="69" spans="2:8" x14ac:dyDescent="0.15">
      <c r="B69" s="4" t="s">
        <v>210</v>
      </c>
    </row>
    <row r="70" spans="2:8" x14ac:dyDescent="0.15">
      <c r="B70" s="5" t="s">
        <v>438</v>
      </c>
    </row>
    <row r="72" spans="2:8" x14ac:dyDescent="0.15">
      <c r="B72" s="4" t="s">
        <v>105</v>
      </c>
      <c r="C72" s="4"/>
    </row>
    <row r="73" spans="2:8" x14ac:dyDescent="0.15">
      <c r="B73" s="28" t="s">
        <v>168</v>
      </c>
      <c r="C73" s="4"/>
    </row>
    <row r="74" spans="2:8" x14ac:dyDescent="0.15">
      <c r="B74" s="188" t="s">
        <v>84</v>
      </c>
      <c r="C74" s="188" t="s">
        <v>106</v>
      </c>
      <c r="D74" s="188" t="s">
        <v>107</v>
      </c>
      <c r="E74" s="188" t="s">
        <v>80</v>
      </c>
      <c r="F74" s="188" t="s">
        <v>108</v>
      </c>
      <c r="G74" s="188" t="s">
        <v>109</v>
      </c>
    </row>
    <row r="75" spans="2:8" x14ac:dyDescent="0.15">
      <c r="B75" s="17" t="s">
        <v>260</v>
      </c>
      <c r="C75" s="17"/>
      <c r="D75" s="17"/>
      <c r="E75" s="17"/>
      <c r="F75" s="17"/>
      <c r="G75" s="17"/>
    </row>
    <row r="76" spans="2:8" x14ac:dyDescent="0.15">
      <c r="B76" s="17"/>
      <c r="C76" s="17"/>
      <c r="D76" s="17"/>
      <c r="E76" s="17"/>
      <c r="F76" s="17"/>
      <c r="G76" s="240"/>
    </row>
    <row r="77" spans="2:8" x14ac:dyDescent="0.15">
      <c r="B77" s="17" t="s">
        <v>212</v>
      </c>
      <c r="C77" s="17"/>
      <c r="D77" s="17"/>
      <c r="E77" s="17"/>
      <c r="F77" s="17"/>
      <c r="G77" s="240"/>
      <c r="H77" s="115" t="s">
        <v>225</v>
      </c>
    </row>
    <row r="78" spans="2:8" x14ac:dyDescent="0.15">
      <c r="B78" s="17"/>
      <c r="C78" s="17"/>
      <c r="D78" s="17"/>
      <c r="E78" s="17"/>
      <c r="F78" s="17"/>
      <c r="G78" s="240"/>
    </row>
    <row r="79" spans="2:8" x14ac:dyDescent="0.15">
      <c r="B79" s="17" t="s">
        <v>215</v>
      </c>
      <c r="C79" s="17" t="s">
        <v>377</v>
      </c>
      <c r="D79" s="17">
        <v>90000</v>
      </c>
      <c r="E79" s="255"/>
      <c r="G79" s="240">
        <v>45000000</v>
      </c>
      <c r="H79" s="115" t="s">
        <v>216</v>
      </c>
    </row>
    <row r="80" spans="2:8" x14ac:dyDescent="0.15">
      <c r="B80" s="17"/>
      <c r="C80" s="17"/>
      <c r="D80" s="17"/>
      <c r="E80" s="17"/>
      <c r="F80" s="17"/>
      <c r="G80" s="240"/>
    </row>
    <row r="81" spans="2:9" x14ac:dyDescent="0.15">
      <c r="B81" s="17" t="s">
        <v>222</v>
      </c>
      <c r="C81" s="17" t="s">
        <v>378</v>
      </c>
      <c r="D81" s="17">
        <v>95921</v>
      </c>
      <c r="E81" s="17" t="s">
        <v>381</v>
      </c>
      <c r="F81" s="17">
        <v>88.89</v>
      </c>
      <c r="G81" s="240">
        <v>47960500</v>
      </c>
      <c r="H81" s="115" t="s">
        <v>223</v>
      </c>
    </row>
    <row r="82" spans="2:9" x14ac:dyDescent="0.15">
      <c r="B82" s="17"/>
      <c r="C82" s="17"/>
      <c r="D82" s="17"/>
      <c r="E82" s="17"/>
      <c r="F82" s="17"/>
      <c r="G82" s="240"/>
    </row>
    <row r="83" spans="2:9" x14ac:dyDescent="0.15">
      <c r="B83" s="17" t="s">
        <v>259</v>
      </c>
      <c r="C83" s="17" t="s">
        <v>379</v>
      </c>
      <c r="D83" s="17">
        <f>SUM(D81:D82)</f>
        <v>95921</v>
      </c>
      <c r="E83" s="17"/>
      <c r="F83" s="17"/>
      <c r="G83" s="240">
        <v>47960500</v>
      </c>
      <c r="H83" s="115" t="s">
        <v>261</v>
      </c>
    </row>
    <row r="84" spans="2:9" x14ac:dyDescent="0.15">
      <c r="B84" s="17"/>
      <c r="C84" s="17"/>
      <c r="D84" s="17"/>
      <c r="E84" s="17"/>
      <c r="F84" s="17"/>
      <c r="G84" s="240"/>
    </row>
    <row r="85" spans="2:9" x14ac:dyDescent="0.15">
      <c r="B85" s="17" t="s">
        <v>110</v>
      </c>
      <c r="C85" s="17" t="s">
        <v>380</v>
      </c>
      <c r="D85" s="17">
        <f>SUM(D83:D84)</f>
        <v>95921</v>
      </c>
      <c r="E85" s="17"/>
      <c r="F85" s="17"/>
      <c r="G85" s="240">
        <v>47960500</v>
      </c>
      <c r="H85" s="115" t="s">
        <v>186</v>
      </c>
    </row>
    <row r="87" spans="2:9" x14ac:dyDescent="0.15">
      <c r="B87" s="28" t="s">
        <v>169</v>
      </c>
    </row>
    <row r="88" spans="2:9" x14ac:dyDescent="0.15">
      <c r="B88" s="336" t="s">
        <v>76</v>
      </c>
      <c r="C88" s="337"/>
      <c r="D88" s="336" t="s">
        <v>77</v>
      </c>
      <c r="E88" s="338"/>
      <c r="F88" s="336" t="s">
        <v>78</v>
      </c>
      <c r="G88" s="338"/>
      <c r="H88" s="336" t="s">
        <v>79</v>
      </c>
      <c r="I88" s="338"/>
    </row>
    <row r="89" spans="2:9" x14ac:dyDescent="0.15">
      <c r="B89" s="340" t="s">
        <v>283</v>
      </c>
      <c r="C89" s="341"/>
      <c r="D89" s="342">
        <v>69835</v>
      </c>
      <c r="E89" s="342"/>
      <c r="F89" s="343">
        <f>D89/$D$95</f>
        <v>0.72804703870893761</v>
      </c>
      <c r="G89" s="344"/>
      <c r="H89" s="284" t="s">
        <v>122</v>
      </c>
      <c r="I89" s="285"/>
    </row>
    <row r="90" spans="2:9" x14ac:dyDescent="0.15">
      <c r="B90" s="340" t="s">
        <v>371</v>
      </c>
      <c r="C90" s="341"/>
      <c r="D90" s="342">
        <v>9545</v>
      </c>
      <c r="E90" s="342"/>
      <c r="F90" s="343">
        <f>D90/$D$95</f>
        <v>9.950897092398954E-2</v>
      </c>
      <c r="G90" s="344"/>
      <c r="H90" s="284" t="s">
        <v>147</v>
      </c>
      <c r="I90" s="285"/>
    </row>
    <row r="91" spans="2:9" x14ac:dyDescent="0.15">
      <c r="B91" s="340" t="s">
        <v>314</v>
      </c>
      <c r="C91" s="341"/>
      <c r="D91" s="342">
        <v>8100</v>
      </c>
      <c r="E91" s="342"/>
      <c r="F91" s="343">
        <f>D91/$D$95</f>
        <v>8.4444490778870118E-2</v>
      </c>
      <c r="G91" s="344"/>
      <c r="H91" s="284" t="s">
        <v>375</v>
      </c>
      <c r="I91" s="285"/>
    </row>
    <row r="92" spans="2:9" x14ac:dyDescent="0.15">
      <c r="B92" s="340" t="s">
        <v>372</v>
      </c>
      <c r="C92" s="341"/>
      <c r="D92" s="360">
        <v>2520</v>
      </c>
      <c r="E92" s="361"/>
      <c r="F92" s="343">
        <f t="shared" ref="F92:F93" si="1">D92/$D$95</f>
        <v>2.6271619353426257E-2</v>
      </c>
      <c r="G92" s="344"/>
      <c r="H92" s="284" t="s">
        <v>147</v>
      </c>
      <c r="I92" s="285"/>
    </row>
    <row r="93" spans="2:9" x14ac:dyDescent="0.15">
      <c r="B93" s="340" t="s">
        <v>373</v>
      </c>
      <c r="C93" s="341"/>
      <c r="D93" s="360">
        <v>1184</v>
      </c>
      <c r="E93" s="361"/>
      <c r="F93" s="343">
        <f t="shared" si="1"/>
        <v>1.2343490997800273E-2</v>
      </c>
      <c r="G93" s="344"/>
      <c r="H93" s="284" t="s">
        <v>147</v>
      </c>
      <c r="I93" s="285"/>
    </row>
    <row r="94" spans="2:9" x14ac:dyDescent="0.15">
      <c r="B94" s="340" t="s">
        <v>374</v>
      </c>
      <c r="C94" s="341"/>
      <c r="D94" s="342">
        <v>4737</v>
      </c>
      <c r="E94" s="342"/>
      <c r="F94" s="343">
        <f>D94/$D$95</f>
        <v>4.9384389236976259E-2</v>
      </c>
      <c r="G94" s="344"/>
      <c r="H94" s="284" t="s">
        <v>376</v>
      </c>
      <c r="I94" s="285"/>
    </row>
    <row r="95" spans="2:9" x14ac:dyDescent="0.15">
      <c r="B95" s="358" t="s">
        <v>111</v>
      </c>
      <c r="C95" s="359"/>
      <c r="D95" s="354">
        <f>SUM(D89:E94)</f>
        <v>95921</v>
      </c>
      <c r="E95" s="354"/>
      <c r="F95" s="355">
        <f>SUM(F89:G94)</f>
        <v>1</v>
      </c>
      <c r="G95" s="356"/>
      <c r="H95" s="357"/>
      <c r="I95" s="357"/>
    </row>
    <row r="97" spans="2:10" x14ac:dyDescent="0.15">
      <c r="B97" s="4" t="s">
        <v>112</v>
      </c>
    </row>
    <row r="99" spans="2:10" ht="14.25" customHeight="1" x14ac:dyDescent="0.15">
      <c r="B99" s="319" t="s">
        <v>113</v>
      </c>
      <c r="C99" s="319" t="s">
        <v>114</v>
      </c>
      <c r="D99" s="319" t="s">
        <v>115</v>
      </c>
      <c r="E99" s="319" t="s">
        <v>116</v>
      </c>
      <c r="F99" s="319"/>
      <c r="G99" s="319"/>
      <c r="H99" s="319"/>
      <c r="I99" s="334" t="s">
        <v>117</v>
      </c>
      <c r="J99" s="334"/>
    </row>
    <row r="100" spans="2:10" ht="13.5" customHeight="1" x14ac:dyDescent="0.15">
      <c r="B100" s="319"/>
      <c r="C100" s="319"/>
      <c r="D100" s="319"/>
      <c r="E100" s="188" t="s">
        <v>118</v>
      </c>
      <c r="F100" s="188" t="s">
        <v>119</v>
      </c>
      <c r="G100" s="188" t="s">
        <v>120</v>
      </c>
      <c r="H100" s="188" t="s">
        <v>121</v>
      </c>
      <c r="I100" s="334"/>
      <c r="J100" s="334"/>
    </row>
    <row r="101" spans="2:10" ht="93.75" customHeight="1" x14ac:dyDescent="0.15">
      <c r="B101" s="110" t="s">
        <v>122</v>
      </c>
      <c r="C101" s="110" t="s">
        <v>283</v>
      </c>
      <c r="D101" s="110">
        <v>830101</v>
      </c>
      <c r="E101" s="110" t="s">
        <v>311</v>
      </c>
      <c r="F101" s="110">
        <v>2024</v>
      </c>
      <c r="G101" s="110" t="s">
        <v>318</v>
      </c>
      <c r="H101" s="110" t="s">
        <v>317</v>
      </c>
      <c r="I101" s="275" t="s">
        <v>312</v>
      </c>
      <c r="J101" s="275"/>
    </row>
    <row r="102" spans="2:10" ht="86.25" customHeight="1" x14ac:dyDescent="0.15">
      <c r="B102" s="110" t="s">
        <v>315</v>
      </c>
      <c r="C102" s="110" t="s">
        <v>314</v>
      </c>
      <c r="D102" s="110">
        <v>731001</v>
      </c>
      <c r="E102" s="110" t="s">
        <v>316</v>
      </c>
      <c r="F102" s="110">
        <v>1992</v>
      </c>
      <c r="G102" s="110" t="s">
        <v>286</v>
      </c>
      <c r="H102" s="110" t="s">
        <v>286</v>
      </c>
      <c r="I102" s="275" t="s">
        <v>313</v>
      </c>
      <c r="J102" s="276"/>
    </row>
    <row r="105" spans="2:10" x14ac:dyDescent="0.15">
      <c r="B105" s="4" t="s">
        <v>124</v>
      </c>
    </row>
    <row r="106" spans="2:10" x14ac:dyDescent="0.15">
      <c r="B106" s="4"/>
    </row>
    <row r="107" spans="2:10" ht="34.5" customHeight="1" x14ac:dyDescent="0.15">
      <c r="B107" s="188" t="s">
        <v>113</v>
      </c>
      <c r="C107" s="188" t="s">
        <v>114</v>
      </c>
      <c r="D107" s="188" t="s">
        <v>125</v>
      </c>
      <c r="E107" s="188" t="s">
        <v>126</v>
      </c>
      <c r="F107" s="188" t="s">
        <v>127</v>
      </c>
      <c r="G107" s="319" t="s">
        <v>128</v>
      </c>
      <c r="H107" s="319"/>
      <c r="I107" s="322" t="s">
        <v>170</v>
      </c>
      <c r="J107" s="322"/>
    </row>
    <row r="108" spans="2:10" ht="113.25" customHeight="1" x14ac:dyDescent="0.15">
      <c r="B108" s="246" t="s">
        <v>123</v>
      </c>
      <c r="C108" s="246" t="s">
        <v>328</v>
      </c>
      <c r="D108" s="246" t="s">
        <v>330</v>
      </c>
      <c r="E108" s="246" t="s">
        <v>353</v>
      </c>
      <c r="F108" s="252">
        <v>93399996</v>
      </c>
      <c r="G108" s="320" t="s">
        <v>329</v>
      </c>
      <c r="H108" s="321"/>
      <c r="I108" s="314" t="s">
        <v>361</v>
      </c>
      <c r="J108" s="315"/>
    </row>
    <row r="109" spans="2:10" ht="67.5" customHeight="1" x14ac:dyDescent="0.15">
      <c r="B109" s="246" t="s">
        <v>319</v>
      </c>
      <c r="C109" s="248" t="s">
        <v>323</v>
      </c>
      <c r="D109" s="246" t="s">
        <v>332</v>
      </c>
      <c r="E109" s="246" t="s">
        <v>354</v>
      </c>
      <c r="F109" s="252">
        <v>59000004</v>
      </c>
      <c r="G109" s="320" t="s">
        <v>337</v>
      </c>
      <c r="H109" s="321"/>
      <c r="I109" s="314" t="s">
        <v>362</v>
      </c>
      <c r="J109" s="315"/>
    </row>
    <row r="110" spans="2:10" ht="66.75" customHeight="1" x14ac:dyDescent="0.15">
      <c r="B110" s="246" t="s">
        <v>319</v>
      </c>
      <c r="C110" s="248" t="s">
        <v>324</v>
      </c>
      <c r="D110" s="246" t="s">
        <v>331</v>
      </c>
      <c r="E110" s="246" t="s">
        <v>354</v>
      </c>
      <c r="F110" s="252">
        <v>71000004</v>
      </c>
      <c r="G110" s="320" t="s">
        <v>338</v>
      </c>
      <c r="H110" s="321"/>
      <c r="I110" s="314" t="s">
        <v>363</v>
      </c>
      <c r="J110" s="315"/>
    </row>
    <row r="111" spans="2:10" ht="88.5" customHeight="1" x14ac:dyDescent="0.15">
      <c r="B111" s="246" t="s">
        <v>320</v>
      </c>
      <c r="C111" s="248" t="s">
        <v>325</v>
      </c>
      <c r="D111" s="246" t="s">
        <v>333</v>
      </c>
      <c r="E111" s="246" t="s">
        <v>355</v>
      </c>
      <c r="F111" s="252">
        <v>51399996</v>
      </c>
      <c r="G111" s="320" t="s">
        <v>344</v>
      </c>
      <c r="H111" s="321"/>
      <c r="I111" s="314" t="s">
        <v>364</v>
      </c>
      <c r="J111" s="315"/>
    </row>
    <row r="112" spans="2:10" ht="89.25" customHeight="1" x14ac:dyDescent="0.15">
      <c r="B112" s="246" t="s">
        <v>321</v>
      </c>
      <c r="C112" s="248" t="s">
        <v>326</v>
      </c>
      <c r="D112" s="246" t="s">
        <v>335</v>
      </c>
      <c r="E112" s="246" t="s">
        <v>356</v>
      </c>
      <c r="F112" s="252">
        <v>41800000</v>
      </c>
      <c r="G112" s="320" t="s">
        <v>345</v>
      </c>
      <c r="H112" s="321"/>
      <c r="I112" s="314" t="s">
        <v>365</v>
      </c>
      <c r="J112" s="315"/>
    </row>
    <row r="113" spans="2:10" ht="50.1" customHeight="1" x14ac:dyDescent="0.15">
      <c r="B113" s="251" t="s">
        <v>321</v>
      </c>
      <c r="C113" s="249" t="s">
        <v>334</v>
      </c>
      <c r="D113" s="251" t="s">
        <v>352</v>
      </c>
      <c r="E113" s="251" t="s">
        <v>357</v>
      </c>
      <c r="F113" s="253">
        <v>39999996</v>
      </c>
      <c r="G113" s="277" t="s">
        <v>336</v>
      </c>
      <c r="H113" s="278"/>
      <c r="I113" s="348" t="s">
        <v>366</v>
      </c>
      <c r="J113" s="349"/>
    </row>
    <row r="114" spans="2:10" ht="56.25" customHeight="1" x14ac:dyDescent="0.15">
      <c r="B114" s="251" t="s">
        <v>321</v>
      </c>
      <c r="C114" s="249" t="s">
        <v>341</v>
      </c>
      <c r="D114" s="247" t="s">
        <v>342</v>
      </c>
      <c r="E114" s="247" t="s">
        <v>358</v>
      </c>
      <c r="F114" s="254">
        <v>36000000</v>
      </c>
      <c r="G114" s="277" t="s">
        <v>343</v>
      </c>
      <c r="H114" s="278"/>
      <c r="I114" s="275" t="s">
        <v>367</v>
      </c>
      <c r="J114" s="276"/>
    </row>
    <row r="115" spans="2:10" ht="55.5" customHeight="1" x14ac:dyDescent="0.15">
      <c r="B115" s="251" t="s">
        <v>322</v>
      </c>
      <c r="C115" s="249" t="s">
        <v>327</v>
      </c>
      <c r="D115" s="247" t="s">
        <v>339</v>
      </c>
      <c r="E115" s="247" t="s">
        <v>358</v>
      </c>
      <c r="F115" s="254">
        <v>37400004</v>
      </c>
      <c r="G115" s="277" t="s">
        <v>340</v>
      </c>
      <c r="H115" s="278"/>
      <c r="I115" s="275" t="s">
        <v>368</v>
      </c>
      <c r="J115" s="276"/>
    </row>
    <row r="116" spans="2:10" ht="52.5" customHeight="1" x14ac:dyDescent="0.15">
      <c r="B116" s="247" t="s">
        <v>346</v>
      </c>
      <c r="C116" s="250" t="s">
        <v>347</v>
      </c>
      <c r="D116" s="247" t="s">
        <v>348</v>
      </c>
      <c r="E116" s="247" t="s">
        <v>359</v>
      </c>
      <c r="F116" s="254">
        <v>30999996</v>
      </c>
      <c r="G116" s="277" t="s">
        <v>350</v>
      </c>
      <c r="H116" s="278"/>
      <c r="I116" s="275" t="s">
        <v>369</v>
      </c>
      <c r="J116" s="276"/>
    </row>
    <row r="117" spans="2:10" ht="53.25" customHeight="1" x14ac:dyDescent="0.15">
      <c r="B117" s="247" t="s">
        <v>346</v>
      </c>
      <c r="C117" s="250" t="s">
        <v>349</v>
      </c>
      <c r="D117" s="247" t="s">
        <v>335</v>
      </c>
      <c r="E117" s="247" t="s">
        <v>360</v>
      </c>
      <c r="F117" s="254">
        <v>29000000</v>
      </c>
      <c r="G117" s="279" t="s">
        <v>351</v>
      </c>
      <c r="H117" s="280"/>
      <c r="I117" s="275" t="s">
        <v>370</v>
      </c>
      <c r="J117" s="276"/>
    </row>
    <row r="118" spans="2:10" x14ac:dyDescent="0.15">
      <c r="B118" s="245"/>
      <c r="C118" s="245"/>
      <c r="D118" s="245"/>
      <c r="E118" s="245"/>
      <c r="F118" s="245"/>
      <c r="G118" s="245"/>
      <c r="H118" s="245"/>
      <c r="I118" s="15"/>
      <c r="J118" s="15"/>
    </row>
    <row r="120" spans="2:10" x14ac:dyDescent="0.15">
      <c r="B120" s="4" t="s">
        <v>129</v>
      </c>
      <c r="C120" s="23"/>
    </row>
    <row r="121" spans="2:10" ht="18" thickBot="1" x14ac:dyDescent="0.2"/>
    <row r="122" spans="2:10" x14ac:dyDescent="0.15">
      <c r="B122" s="189" t="s">
        <v>130</v>
      </c>
      <c r="C122" s="24"/>
      <c r="D122" s="193" t="s">
        <v>131</v>
      </c>
      <c r="E122" s="24"/>
      <c r="F122" s="193" t="s">
        <v>132</v>
      </c>
      <c r="G122" s="25"/>
    </row>
    <row r="123" spans="2:10" x14ac:dyDescent="0.15">
      <c r="B123" s="190" t="s">
        <v>133</v>
      </c>
      <c r="C123" s="316"/>
      <c r="D123" s="317"/>
      <c r="E123" s="317"/>
      <c r="F123" s="317"/>
      <c r="G123" s="318"/>
    </row>
    <row r="124" spans="2:10" ht="18" thickBot="1" x14ac:dyDescent="0.2">
      <c r="B124" s="191" t="s">
        <v>134</v>
      </c>
      <c r="C124" s="325"/>
      <c r="D124" s="326"/>
      <c r="E124" s="326"/>
      <c r="F124" s="326"/>
      <c r="G124" s="327"/>
    </row>
    <row r="125" spans="2:10" ht="34.5" x14ac:dyDescent="0.15">
      <c r="B125" s="192" t="s">
        <v>135</v>
      </c>
      <c r="C125" s="353" t="s">
        <v>254</v>
      </c>
      <c r="D125" s="353"/>
      <c r="E125" s="323" t="s">
        <v>224</v>
      </c>
      <c r="F125" s="323"/>
      <c r="G125" s="324"/>
    </row>
    <row r="126" spans="2:10" x14ac:dyDescent="0.15">
      <c r="B126" s="190" t="s">
        <v>136</v>
      </c>
      <c r="C126" s="325" t="s">
        <v>292</v>
      </c>
      <c r="D126" s="326"/>
      <c r="E126" s="326"/>
      <c r="F126" s="326"/>
      <c r="G126" s="327"/>
    </row>
    <row r="127" spans="2:10" x14ac:dyDescent="0.15">
      <c r="B127" s="190" t="s">
        <v>137</v>
      </c>
      <c r="C127" s="328"/>
      <c r="D127" s="329"/>
      <c r="E127" s="329"/>
      <c r="F127" s="329"/>
      <c r="G127" s="330"/>
    </row>
    <row r="128" spans="2:10" x14ac:dyDescent="0.15">
      <c r="B128" s="190" t="s">
        <v>138</v>
      </c>
      <c r="C128" s="328"/>
      <c r="D128" s="329"/>
      <c r="E128" s="329"/>
      <c r="F128" s="329"/>
      <c r="G128" s="330"/>
    </row>
    <row r="129" spans="2:10" x14ac:dyDescent="0.15">
      <c r="B129" s="190" t="s">
        <v>139</v>
      </c>
      <c r="C129" s="328"/>
      <c r="D129" s="329"/>
      <c r="E129" s="329"/>
      <c r="F129" s="329"/>
      <c r="G129" s="330"/>
    </row>
    <row r="130" spans="2:10" x14ac:dyDescent="0.15">
      <c r="B130" s="190" t="s">
        <v>140</v>
      </c>
      <c r="C130" s="328"/>
      <c r="D130" s="329"/>
      <c r="E130" s="329"/>
      <c r="F130" s="329"/>
      <c r="G130" s="330"/>
    </row>
    <row r="131" spans="2:10" ht="18" thickBot="1" x14ac:dyDescent="0.2">
      <c r="B131" s="191" t="s">
        <v>141</v>
      </c>
      <c r="C131" s="331"/>
      <c r="D131" s="332"/>
      <c r="E131" s="332"/>
      <c r="F131" s="332"/>
      <c r="G131" s="333"/>
    </row>
    <row r="132" spans="2:10" x14ac:dyDescent="0.15">
      <c r="B132" s="350" t="s">
        <v>142</v>
      </c>
      <c r="C132" s="193" t="s">
        <v>143</v>
      </c>
      <c r="D132" s="193" t="s">
        <v>144</v>
      </c>
      <c r="E132" s="193" t="s">
        <v>145</v>
      </c>
      <c r="F132" s="193" t="s">
        <v>146</v>
      </c>
      <c r="G132" s="194" t="s">
        <v>147</v>
      </c>
    </row>
    <row r="133" spans="2:10" x14ac:dyDescent="0.15">
      <c r="B133" s="351"/>
      <c r="C133" s="17"/>
      <c r="D133" s="17"/>
      <c r="E133" s="17"/>
      <c r="F133" s="17"/>
      <c r="G133" s="26"/>
    </row>
    <row r="134" spans="2:10" x14ac:dyDescent="0.15">
      <c r="B134" s="351"/>
      <c r="C134" s="188" t="s">
        <v>148</v>
      </c>
      <c r="D134" s="188" t="s">
        <v>149</v>
      </c>
      <c r="F134" s="17"/>
      <c r="G134" s="26"/>
    </row>
    <row r="135" spans="2:10" ht="18" thickBot="1" x14ac:dyDescent="0.2">
      <c r="B135" s="352"/>
      <c r="C135" s="27"/>
      <c r="D135" s="27"/>
      <c r="E135" s="27"/>
      <c r="F135" s="27"/>
      <c r="G135" s="77"/>
    </row>
    <row r="138" spans="2:10" x14ac:dyDescent="0.15">
      <c r="B138" s="4" t="s">
        <v>150</v>
      </c>
    </row>
    <row r="139" spans="2:10" x14ac:dyDescent="0.15">
      <c r="B139" s="71" t="s">
        <v>181</v>
      </c>
      <c r="D139" s="75" t="s">
        <v>184</v>
      </c>
      <c r="E139" s="75"/>
    </row>
    <row r="140" spans="2:10" ht="18" thickBot="1" x14ac:dyDescent="0.2">
      <c r="J140" s="29" t="s">
        <v>151</v>
      </c>
    </row>
    <row r="141" spans="2:10" x14ac:dyDescent="0.15">
      <c r="B141" s="189" t="s">
        <v>152</v>
      </c>
      <c r="C141" s="193" t="s">
        <v>153</v>
      </c>
      <c r="D141" s="193" t="s">
        <v>154</v>
      </c>
      <c r="E141" s="193" t="s">
        <v>155</v>
      </c>
      <c r="F141" s="193" t="s">
        <v>156</v>
      </c>
      <c r="G141" s="193" t="s">
        <v>157</v>
      </c>
      <c r="H141" s="193" t="s">
        <v>158</v>
      </c>
      <c r="I141" s="193" t="s">
        <v>159</v>
      </c>
      <c r="J141" s="194" t="s">
        <v>160</v>
      </c>
    </row>
    <row r="142" spans="2:10" x14ac:dyDescent="0.15">
      <c r="B142" s="76" t="s">
        <v>306</v>
      </c>
      <c r="C142" s="243" t="s">
        <v>309</v>
      </c>
      <c r="D142" s="240">
        <v>300000000</v>
      </c>
      <c r="E142" s="240">
        <v>222900000</v>
      </c>
      <c r="F142" s="110" t="s">
        <v>300</v>
      </c>
      <c r="G142" s="110" t="s">
        <v>304</v>
      </c>
      <c r="H142" s="242">
        <v>3.2328999999999997E-2</v>
      </c>
      <c r="I142" s="110" t="s">
        <v>384</v>
      </c>
      <c r="J142" s="244"/>
    </row>
    <row r="143" spans="2:10" x14ac:dyDescent="0.15">
      <c r="B143" s="76" t="s">
        <v>307</v>
      </c>
      <c r="C143" s="243" t="s">
        <v>309</v>
      </c>
      <c r="D143" s="240">
        <v>30000000</v>
      </c>
      <c r="E143" s="240">
        <v>30000000</v>
      </c>
      <c r="F143" s="110" t="s">
        <v>301</v>
      </c>
      <c r="G143" s="110" t="s">
        <v>304</v>
      </c>
      <c r="H143" s="242">
        <v>5.8460999999999999E-2</v>
      </c>
      <c r="I143" s="110" t="s">
        <v>392</v>
      </c>
      <c r="J143" s="244"/>
    </row>
    <row r="144" spans="2:10" x14ac:dyDescent="0.15">
      <c r="B144" s="76" t="s">
        <v>306</v>
      </c>
      <c r="C144" s="243" t="s">
        <v>309</v>
      </c>
      <c r="D144" s="240">
        <v>180000000</v>
      </c>
      <c r="E144" s="240">
        <v>180000000</v>
      </c>
      <c r="F144" s="110" t="s">
        <v>302</v>
      </c>
      <c r="G144" s="110" t="s">
        <v>304</v>
      </c>
      <c r="H144" s="242">
        <v>3.671E-2</v>
      </c>
      <c r="I144" s="110" t="s">
        <v>393</v>
      </c>
      <c r="J144" s="244"/>
    </row>
    <row r="145" spans="2:10" x14ac:dyDescent="0.15">
      <c r="B145" s="76" t="s">
        <v>308</v>
      </c>
      <c r="C145" s="243" t="s">
        <v>309</v>
      </c>
      <c r="D145" s="240">
        <v>200000000</v>
      </c>
      <c r="E145" s="240">
        <v>200000000</v>
      </c>
      <c r="F145" s="110" t="s">
        <v>303</v>
      </c>
      <c r="G145" s="110" t="s">
        <v>305</v>
      </c>
      <c r="H145" s="242">
        <v>1.8589000000000001E-2</v>
      </c>
      <c r="I145" s="110" t="s">
        <v>384</v>
      </c>
      <c r="J145" s="244"/>
    </row>
    <row r="146" spans="2:10" ht="14.25" customHeight="1" thickBot="1" x14ac:dyDescent="0.2">
      <c r="B146" s="345" t="s">
        <v>161</v>
      </c>
      <c r="C146" s="346"/>
      <c r="D146" s="347"/>
      <c r="E146" s="241">
        <f>SUM(E142:E145)</f>
        <v>632900000</v>
      </c>
      <c r="F146" s="27"/>
      <c r="G146" s="27"/>
      <c r="H146" s="27"/>
      <c r="I146" s="27"/>
      <c r="J146" s="77"/>
    </row>
    <row r="148" spans="2:10" x14ac:dyDescent="0.15">
      <c r="B148" s="71" t="s">
        <v>262</v>
      </c>
      <c r="D148" s="115" t="s">
        <v>263</v>
      </c>
    </row>
    <row r="149" spans="2:10" ht="18" thickBot="1" x14ac:dyDescent="0.2">
      <c r="J149" s="29" t="s">
        <v>151</v>
      </c>
    </row>
    <row r="150" spans="2:10" x14ac:dyDescent="0.15">
      <c r="B150" s="309" t="s">
        <v>162</v>
      </c>
      <c r="C150" s="310"/>
      <c r="D150" s="310"/>
      <c r="E150" s="195" t="s">
        <v>154</v>
      </c>
      <c r="F150" s="195" t="s">
        <v>158</v>
      </c>
      <c r="G150" s="311" t="s">
        <v>163</v>
      </c>
      <c r="H150" s="312"/>
      <c r="I150" s="311" t="s">
        <v>164</v>
      </c>
      <c r="J150" s="313"/>
    </row>
    <row r="151" spans="2:10" x14ac:dyDescent="0.15">
      <c r="B151" s="290" t="s">
        <v>166</v>
      </c>
      <c r="C151" s="291"/>
      <c r="D151" s="292"/>
      <c r="E151" s="30"/>
      <c r="F151" s="31"/>
      <c r="G151" s="293"/>
      <c r="H151" s="293"/>
      <c r="I151" s="294"/>
      <c r="J151" s="295"/>
    </row>
    <row r="152" spans="2:10" x14ac:dyDescent="0.15">
      <c r="B152" s="306" t="s">
        <v>385</v>
      </c>
      <c r="C152" s="307"/>
      <c r="D152" s="308"/>
      <c r="E152" s="33">
        <v>300000000</v>
      </c>
      <c r="F152" s="242">
        <v>3.2328999999999997E-2</v>
      </c>
      <c r="G152" s="286" t="s">
        <v>387</v>
      </c>
      <c r="H152" s="287"/>
      <c r="I152" s="288"/>
      <c r="J152" s="289"/>
    </row>
    <row r="153" spans="2:10" x14ac:dyDescent="0.15">
      <c r="B153" s="306" t="s">
        <v>385</v>
      </c>
      <c r="C153" s="307"/>
      <c r="D153" s="308"/>
      <c r="E153" s="33">
        <v>30000000</v>
      </c>
      <c r="F153" s="242">
        <v>5.8460999999999999E-2</v>
      </c>
      <c r="G153" s="286" t="s">
        <v>387</v>
      </c>
      <c r="H153" s="287"/>
      <c r="I153" s="288"/>
      <c r="J153" s="289"/>
    </row>
    <row r="154" spans="2:10" x14ac:dyDescent="0.15">
      <c r="B154" s="306" t="s">
        <v>385</v>
      </c>
      <c r="C154" s="307"/>
      <c r="D154" s="308"/>
      <c r="E154" s="33">
        <v>180000000</v>
      </c>
      <c r="F154" s="242">
        <v>3.671E-2</v>
      </c>
      <c r="G154" s="286" t="s">
        <v>387</v>
      </c>
      <c r="H154" s="287"/>
      <c r="I154" s="288"/>
      <c r="J154" s="289"/>
    </row>
    <row r="155" spans="2:10" x14ac:dyDescent="0.15">
      <c r="B155" s="306" t="s">
        <v>386</v>
      </c>
      <c r="C155" s="307"/>
      <c r="D155" s="308"/>
      <c r="E155" s="33">
        <v>5420640</v>
      </c>
      <c r="F155" s="34" t="s">
        <v>286</v>
      </c>
      <c r="G155" s="286" t="s">
        <v>388</v>
      </c>
      <c r="H155" s="287"/>
      <c r="I155" s="288"/>
      <c r="J155" s="289"/>
    </row>
    <row r="156" spans="2:10" x14ac:dyDescent="0.15">
      <c r="B156" s="296" t="s">
        <v>167</v>
      </c>
      <c r="C156" s="297" t="s">
        <v>167</v>
      </c>
      <c r="D156" s="298"/>
      <c r="E156" s="111">
        <f>SUM(E152:E155)</f>
        <v>515420640</v>
      </c>
      <c r="F156" s="112"/>
      <c r="G156" s="299"/>
      <c r="H156" s="300"/>
      <c r="I156" s="299"/>
      <c r="J156" s="301"/>
    </row>
    <row r="157" spans="2:10" x14ac:dyDescent="0.15">
      <c r="B157" s="290" t="s">
        <v>389</v>
      </c>
      <c r="C157" s="291"/>
      <c r="D157" s="292"/>
      <c r="E157" s="35">
        <v>0</v>
      </c>
      <c r="F157" s="32"/>
      <c r="G157" s="293"/>
      <c r="H157" s="293"/>
      <c r="I157" s="294"/>
      <c r="J157" s="295"/>
    </row>
    <row r="158" spans="2:10" x14ac:dyDescent="0.15">
      <c r="B158" s="408"/>
      <c r="C158" s="409"/>
      <c r="D158" s="410"/>
      <c r="E158" s="35"/>
      <c r="F158" s="34"/>
      <c r="G158" s="406"/>
      <c r="H158" s="407"/>
      <c r="I158" s="404"/>
      <c r="J158" s="405"/>
    </row>
    <row r="159" spans="2:10" x14ac:dyDescent="0.15">
      <c r="B159" s="408"/>
      <c r="C159" s="409"/>
      <c r="D159" s="410"/>
      <c r="E159" s="35"/>
      <c r="F159" s="34"/>
      <c r="G159" s="406"/>
      <c r="H159" s="407"/>
      <c r="I159" s="404"/>
      <c r="J159" s="405"/>
    </row>
    <row r="160" spans="2:10" x14ac:dyDescent="0.15">
      <c r="B160" s="408"/>
      <c r="C160" s="409"/>
      <c r="D160" s="410"/>
      <c r="E160" s="35"/>
      <c r="F160" s="34"/>
      <c r="G160" s="406"/>
      <c r="H160" s="407"/>
      <c r="I160" s="404"/>
      <c r="J160" s="405"/>
    </row>
    <row r="161" spans="2:10" x14ac:dyDescent="0.15">
      <c r="B161" s="408"/>
      <c r="C161" s="409"/>
      <c r="D161" s="410"/>
      <c r="E161" s="33"/>
      <c r="F161" s="34"/>
      <c r="G161" s="406"/>
      <c r="H161" s="407"/>
      <c r="I161" s="404"/>
      <c r="J161" s="405"/>
    </row>
    <row r="162" spans="2:10" x14ac:dyDescent="0.15">
      <c r="B162" s="408"/>
      <c r="C162" s="409"/>
      <c r="D162" s="410"/>
      <c r="E162" s="33"/>
      <c r="F162" s="34"/>
      <c r="G162" s="406"/>
      <c r="H162" s="407"/>
      <c r="I162" s="404"/>
      <c r="J162" s="405"/>
    </row>
    <row r="163" spans="2:10" x14ac:dyDescent="0.15">
      <c r="B163" s="408"/>
      <c r="C163" s="409"/>
      <c r="D163" s="410"/>
      <c r="E163" s="33"/>
      <c r="F163" s="34"/>
      <c r="G163" s="406"/>
      <c r="H163" s="407"/>
      <c r="I163" s="404"/>
      <c r="J163" s="405"/>
    </row>
    <row r="164" spans="2:10" x14ac:dyDescent="0.15">
      <c r="B164" s="296" t="s">
        <v>167</v>
      </c>
      <c r="C164" s="297"/>
      <c r="D164" s="298"/>
      <c r="E164" s="111">
        <f>SUM(E158:E163)</f>
        <v>0</v>
      </c>
      <c r="F164" s="112"/>
      <c r="G164" s="299"/>
      <c r="H164" s="300"/>
      <c r="I164" s="299"/>
      <c r="J164" s="301"/>
    </row>
    <row r="165" spans="2:10" x14ac:dyDescent="0.15">
      <c r="B165" s="290" t="s">
        <v>390</v>
      </c>
      <c r="C165" s="291"/>
      <c r="D165" s="292"/>
      <c r="E165" s="33">
        <v>0</v>
      </c>
      <c r="F165" s="32"/>
      <c r="G165" s="286"/>
      <c r="H165" s="287"/>
      <c r="I165" s="294"/>
      <c r="J165" s="295"/>
    </row>
    <row r="166" spans="2:10" x14ac:dyDescent="0.15">
      <c r="B166" s="290" t="s">
        <v>391</v>
      </c>
      <c r="C166" s="291"/>
      <c r="D166" s="292"/>
      <c r="E166" s="33">
        <f>+E164-E165</f>
        <v>0</v>
      </c>
      <c r="F166" s="32"/>
      <c r="G166" s="293"/>
      <c r="H166" s="293"/>
      <c r="I166" s="294"/>
      <c r="J166" s="295"/>
    </row>
    <row r="167" spans="2:10" ht="18" thickBot="1" x14ac:dyDescent="0.2">
      <c r="B167" s="302" t="s">
        <v>165</v>
      </c>
      <c r="C167" s="303"/>
      <c r="D167" s="303"/>
      <c r="E167" s="113">
        <f>+E156+E165+E166</f>
        <v>515420640</v>
      </c>
      <c r="F167" s="114"/>
      <c r="G167" s="304"/>
      <c r="H167" s="304"/>
      <c r="I167" s="304"/>
      <c r="J167" s="305"/>
    </row>
  </sheetData>
  <mergeCells count="156">
    <mergeCell ref="B94:C94"/>
    <mergeCell ref="D94:E94"/>
    <mergeCell ref="F94:G94"/>
    <mergeCell ref="H94:I94"/>
    <mergeCell ref="F92:G92"/>
    <mergeCell ref="F93:G93"/>
    <mergeCell ref="D92:E92"/>
    <mergeCell ref="D93:E93"/>
    <mergeCell ref="B92:C92"/>
    <mergeCell ref="B93:C93"/>
    <mergeCell ref="H92:I92"/>
    <mergeCell ref="H93:I93"/>
    <mergeCell ref="B89:C89"/>
    <mergeCell ref="D89:E89"/>
    <mergeCell ref="F89:G89"/>
    <mergeCell ref="H89:I89"/>
    <mergeCell ref="B90:C90"/>
    <mergeCell ref="D90:E90"/>
    <mergeCell ref="B146:D146"/>
    <mergeCell ref="I113:J113"/>
    <mergeCell ref="I112:J112"/>
    <mergeCell ref="I111:J111"/>
    <mergeCell ref="I110:J110"/>
    <mergeCell ref="B132:B135"/>
    <mergeCell ref="C125:D125"/>
    <mergeCell ref="G107:H107"/>
    <mergeCell ref="C124:G124"/>
    <mergeCell ref="D95:E95"/>
    <mergeCell ref="F95:G95"/>
    <mergeCell ref="H95:I95"/>
    <mergeCell ref="B95:C95"/>
    <mergeCell ref="F90:G90"/>
    <mergeCell ref="H90:I90"/>
    <mergeCell ref="B91:C91"/>
    <mergeCell ref="D91:E91"/>
    <mergeCell ref="F91:G91"/>
    <mergeCell ref="B52:B53"/>
    <mergeCell ref="C52:C53"/>
    <mergeCell ref="B88:C88"/>
    <mergeCell ref="D52:F52"/>
    <mergeCell ref="D88:E88"/>
    <mergeCell ref="B15:C15"/>
    <mergeCell ref="B14:C14"/>
    <mergeCell ref="B13:C13"/>
    <mergeCell ref="F88:G88"/>
    <mergeCell ref="D16:I16"/>
    <mergeCell ref="D17:I17"/>
    <mergeCell ref="D18:I18"/>
    <mergeCell ref="B23:C23"/>
    <mergeCell ref="B22:C22"/>
    <mergeCell ref="D19:I19"/>
    <mergeCell ref="D20:I20"/>
    <mergeCell ref="D21:I21"/>
    <mergeCell ref="G52:G53"/>
    <mergeCell ref="H88:I88"/>
    <mergeCell ref="D22:I22"/>
    <mergeCell ref="D23:I23"/>
    <mergeCell ref="B12:C12"/>
    <mergeCell ref="B10:C10"/>
    <mergeCell ref="B9:C9"/>
    <mergeCell ref="B11:C11"/>
    <mergeCell ref="B21:C21"/>
    <mergeCell ref="B20:C20"/>
    <mergeCell ref="B19:C19"/>
    <mergeCell ref="B18:C18"/>
    <mergeCell ref="B17:C17"/>
    <mergeCell ref="B16:C16"/>
    <mergeCell ref="B150:D150"/>
    <mergeCell ref="G150:H150"/>
    <mergeCell ref="I150:J150"/>
    <mergeCell ref="I109:J109"/>
    <mergeCell ref="I108:J108"/>
    <mergeCell ref="C123:G123"/>
    <mergeCell ref="B99:B100"/>
    <mergeCell ref="G113:H113"/>
    <mergeCell ref="G112:H112"/>
    <mergeCell ref="G110:H110"/>
    <mergeCell ref="G111:H111"/>
    <mergeCell ref="I107:J107"/>
    <mergeCell ref="G109:H109"/>
    <mergeCell ref="C99:C100"/>
    <mergeCell ref="D99:D100"/>
    <mergeCell ref="E99:H99"/>
    <mergeCell ref="G108:H108"/>
    <mergeCell ref="E125:G125"/>
    <mergeCell ref="C126:G131"/>
    <mergeCell ref="I99:J100"/>
    <mergeCell ref="I101:J101"/>
    <mergeCell ref="I102:J102"/>
    <mergeCell ref="I114:J114"/>
    <mergeCell ref="I115:J115"/>
    <mergeCell ref="B151:D151"/>
    <mergeCell ref="G151:H151"/>
    <mergeCell ref="I151:J151"/>
    <mergeCell ref="B152:D152"/>
    <mergeCell ref="G152:H152"/>
    <mergeCell ref="I152:J152"/>
    <mergeCell ref="B153:D153"/>
    <mergeCell ref="G153:H153"/>
    <mergeCell ref="I153:J153"/>
    <mergeCell ref="B154:D154"/>
    <mergeCell ref="G154:H154"/>
    <mergeCell ref="I154:J154"/>
    <mergeCell ref="B155:D155"/>
    <mergeCell ref="G155:H155"/>
    <mergeCell ref="I155:J155"/>
    <mergeCell ref="B156:D156"/>
    <mergeCell ref="G156:H156"/>
    <mergeCell ref="I156:J156"/>
    <mergeCell ref="B157:D157"/>
    <mergeCell ref="G157:H157"/>
    <mergeCell ref="I157:J157"/>
    <mergeCell ref="B158:D158"/>
    <mergeCell ref="G158:H158"/>
    <mergeCell ref="B164:D164"/>
    <mergeCell ref="G164:H164"/>
    <mergeCell ref="I164:J164"/>
    <mergeCell ref="B167:D167"/>
    <mergeCell ref="G167:H167"/>
    <mergeCell ref="I167:J167"/>
    <mergeCell ref="B165:D165"/>
    <mergeCell ref="G165:H165"/>
    <mergeCell ref="I165:J165"/>
    <mergeCell ref="B166:D166"/>
    <mergeCell ref="G166:H166"/>
    <mergeCell ref="I166:J166"/>
    <mergeCell ref="I158:J158"/>
    <mergeCell ref="B159:D159"/>
    <mergeCell ref="G159:H159"/>
    <mergeCell ref="I159:J159"/>
    <mergeCell ref="B163:D163"/>
    <mergeCell ref="G163:H163"/>
    <mergeCell ref="I163:J163"/>
    <mergeCell ref="B160:D160"/>
    <mergeCell ref="G160:H160"/>
    <mergeCell ref="I160:J160"/>
    <mergeCell ref="B161:D161"/>
    <mergeCell ref="G161:H161"/>
    <mergeCell ref="I161:J161"/>
    <mergeCell ref="B162:D162"/>
    <mergeCell ref="G162:H162"/>
    <mergeCell ref="I162:J162"/>
    <mergeCell ref="I116:J116"/>
    <mergeCell ref="I117:J117"/>
    <mergeCell ref="G114:H114"/>
    <mergeCell ref="G115:H115"/>
    <mergeCell ref="G116:H116"/>
    <mergeCell ref="G117:H117"/>
    <mergeCell ref="D9:I9"/>
    <mergeCell ref="D10:I10"/>
    <mergeCell ref="D11:I11"/>
    <mergeCell ref="D12:I12"/>
    <mergeCell ref="D13:I13"/>
    <mergeCell ref="D14:I14"/>
    <mergeCell ref="D15:I15"/>
    <mergeCell ref="H91:I91"/>
  </mergeCells>
  <phoneticPr fontId="2" type="noConversion"/>
  <pageMargins left="0.75" right="0.75" top="1" bottom="1" header="0.5" footer="0.5"/>
  <pageSetup paperSize="9" scale="51" fitToHeight="0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12"/>
  <sheetViews>
    <sheetView zoomScale="115" workbookViewId="0">
      <selection activeCell="A7" sqref="A7:H8"/>
    </sheetView>
  </sheetViews>
  <sheetFormatPr defaultColWidth="8.88671875" defaultRowHeight="16.5" x14ac:dyDescent="0.15"/>
  <cols>
    <col min="1" max="8" width="10.109375" style="1" customWidth="1"/>
    <col min="9" max="16384" width="8.88671875" style="1"/>
  </cols>
  <sheetData>
    <row r="1" spans="1:8" ht="20.25" x14ac:dyDescent="0.15">
      <c r="A1" s="2" t="s">
        <v>59</v>
      </c>
    </row>
    <row r="4" spans="1:8" x14ac:dyDescent="0.15">
      <c r="A4" s="3" t="s">
        <v>185</v>
      </c>
    </row>
    <row r="6" spans="1:8" x14ac:dyDescent="0.15">
      <c r="A6" s="1" t="s">
        <v>171</v>
      </c>
    </row>
    <row r="7" spans="1:8" ht="409.5" customHeight="1" x14ac:dyDescent="0.15">
      <c r="A7" s="362" t="s">
        <v>436</v>
      </c>
      <c r="B7" s="362"/>
      <c r="C7" s="362"/>
      <c r="D7" s="362"/>
      <c r="E7" s="362"/>
      <c r="F7" s="362"/>
      <c r="G7" s="362"/>
      <c r="H7" s="362"/>
    </row>
    <row r="8" spans="1:8" ht="24.75" customHeight="1" x14ac:dyDescent="0.15">
      <c r="A8" s="362"/>
      <c r="B8" s="362"/>
      <c r="C8" s="362"/>
      <c r="D8" s="362"/>
      <c r="E8" s="362"/>
      <c r="F8" s="362"/>
      <c r="G8" s="362"/>
      <c r="H8" s="362"/>
    </row>
    <row r="10" spans="1:8" x14ac:dyDescent="0.15">
      <c r="A10" s="1" t="s">
        <v>172</v>
      </c>
    </row>
    <row r="11" spans="1:8" ht="409.5" customHeight="1" x14ac:dyDescent="0.15">
      <c r="A11" s="363" t="s">
        <v>437</v>
      </c>
      <c r="B11" s="363"/>
      <c r="C11" s="363"/>
      <c r="D11" s="363"/>
      <c r="E11" s="363"/>
      <c r="F11" s="363"/>
      <c r="G11" s="363"/>
      <c r="H11" s="363"/>
    </row>
    <row r="12" spans="1:8" ht="74.45" customHeight="1" x14ac:dyDescent="0.15">
      <c r="A12" s="364"/>
      <c r="B12" s="364"/>
      <c r="C12" s="364"/>
      <c r="D12" s="364"/>
      <c r="E12" s="364"/>
      <c r="F12" s="364"/>
      <c r="G12" s="364"/>
      <c r="H12" s="364"/>
    </row>
  </sheetData>
  <mergeCells count="2">
    <mergeCell ref="A7:H8"/>
    <mergeCell ref="A11:H12"/>
  </mergeCells>
  <phoneticPr fontId="2" type="noConversion"/>
  <pageMargins left="0.75" right="0.75" top="1" bottom="1" header="0.5" footer="0.5"/>
  <pageSetup paperSize="9" scale="9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22"/>
  <sheetViews>
    <sheetView zoomScaleSheetLayoutView="100" workbookViewId="0">
      <selection activeCell="C37" sqref="C37"/>
    </sheetView>
  </sheetViews>
  <sheetFormatPr defaultColWidth="8.88671875" defaultRowHeight="16.5" customHeight="1" x14ac:dyDescent="0.15"/>
  <cols>
    <col min="1" max="1" width="22.109375" style="9" bestFit="1" customWidth="1"/>
    <col min="2" max="2" width="14.5546875" style="9" customWidth="1"/>
    <col min="3" max="6" width="14.5546875" style="8" customWidth="1"/>
    <col min="7" max="7" width="14.5546875" style="9" customWidth="1"/>
    <col min="8" max="16384" width="8.88671875" style="9"/>
  </cols>
  <sheetData>
    <row r="1" spans="1:7" ht="16.5" customHeight="1" x14ac:dyDescent="0.15">
      <c r="A1" s="7" t="s">
        <v>46</v>
      </c>
      <c r="B1" s="7"/>
    </row>
    <row r="2" spans="1:7" ht="16.5" customHeight="1" thickBot="1" x14ac:dyDescent="0.2">
      <c r="G2" s="10" t="s">
        <v>47</v>
      </c>
    </row>
    <row r="3" spans="1:7" s="11" customFormat="1" ht="29.25" customHeight="1" x14ac:dyDescent="0.15">
      <c r="A3" s="185" t="s">
        <v>48</v>
      </c>
      <c r="B3" s="186" t="s">
        <v>254</v>
      </c>
      <c r="C3" s="186" t="s">
        <v>187</v>
      </c>
      <c r="D3" s="186" t="s">
        <v>211</v>
      </c>
      <c r="E3" s="186" t="s">
        <v>218</v>
      </c>
      <c r="F3" s="186" t="s">
        <v>226</v>
      </c>
      <c r="G3" s="187" t="s">
        <v>247</v>
      </c>
    </row>
    <row r="4" spans="1:7" ht="29.25" customHeight="1" x14ac:dyDescent="0.15">
      <c r="A4" s="80" t="s">
        <v>49</v>
      </c>
      <c r="B4" s="233">
        <v>1018843355</v>
      </c>
      <c r="C4" s="233">
        <v>1409000000</v>
      </c>
      <c r="D4" s="233">
        <v>2945000000</v>
      </c>
      <c r="E4" s="234">
        <v>6052000000</v>
      </c>
      <c r="F4" s="234">
        <v>12000000000</v>
      </c>
      <c r="G4" s="235">
        <v>30000000000</v>
      </c>
    </row>
    <row r="5" spans="1:7" ht="29.25" customHeight="1" x14ac:dyDescent="0.15">
      <c r="A5" s="80" t="s">
        <v>50</v>
      </c>
      <c r="B5" s="233">
        <v>0</v>
      </c>
      <c r="C5" s="233">
        <v>0</v>
      </c>
      <c r="D5" s="233">
        <v>0</v>
      </c>
      <c r="E5" s="233">
        <v>0</v>
      </c>
      <c r="F5" s="233">
        <v>0</v>
      </c>
      <c r="G5" s="233">
        <v>0</v>
      </c>
    </row>
    <row r="6" spans="1:7" ht="29.25" customHeight="1" x14ac:dyDescent="0.15">
      <c r="A6" s="80" t="s">
        <v>51</v>
      </c>
      <c r="B6" s="204">
        <f>+B4-B5</f>
        <v>1018843355</v>
      </c>
      <c r="C6" s="204">
        <f>+C4-C5</f>
        <v>1409000000</v>
      </c>
      <c r="D6" s="204">
        <f t="shared" ref="D6:G6" si="0">+D4-D5</f>
        <v>2945000000</v>
      </c>
      <c r="E6" s="205">
        <f t="shared" si="0"/>
        <v>6052000000</v>
      </c>
      <c r="F6" s="205">
        <f t="shared" si="0"/>
        <v>12000000000</v>
      </c>
      <c r="G6" s="206">
        <f t="shared" si="0"/>
        <v>30000000000</v>
      </c>
    </row>
    <row r="7" spans="1:7" ht="29.25" customHeight="1" x14ac:dyDescent="0.15">
      <c r="A7" s="80" t="s">
        <v>52</v>
      </c>
      <c r="B7" s="233">
        <v>1440792524</v>
      </c>
      <c r="C7" s="233">
        <v>1732269746</v>
      </c>
      <c r="D7" s="233">
        <v>2280634124</v>
      </c>
      <c r="E7" s="234">
        <v>3069294901</v>
      </c>
      <c r="F7" s="234">
        <v>4291581892</v>
      </c>
      <c r="G7" s="235">
        <v>6175924063</v>
      </c>
    </row>
    <row r="8" spans="1:7" ht="29.25" customHeight="1" x14ac:dyDescent="0.15">
      <c r="A8" s="80" t="s">
        <v>53</v>
      </c>
      <c r="B8" s="204">
        <f>+B6-B7</f>
        <v>-421949169</v>
      </c>
      <c r="C8" s="204">
        <f>+C6-C7</f>
        <v>-323269746</v>
      </c>
      <c r="D8" s="204">
        <f t="shared" ref="D8:G8" si="1">+D6-D7</f>
        <v>664365876</v>
      </c>
      <c r="E8" s="205">
        <f t="shared" si="1"/>
        <v>2982705099</v>
      </c>
      <c r="F8" s="205">
        <f>+F6-F7</f>
        <v>7708418108</v>
      </c>
      <c r="G8" s="206">
        <f t="shared" si="1"/>
        <v>23824075937</v>
      </c>
    </row>
    <row r="9" spans="1:7" ht="29.25" customHeight="1" x14ac:dyDescent="0.15">
      <c r="A9" s="80" t="s">
        <v>54</v>
      </c>
      <c r="B9" s="233">
        <v>475355201</v>
      </c>
      <c r="C9" s="233">
        <v>281800000</v>
      </c>
      <c r="D9" s="233">
        <v>147250000</v>
      </c>
      <c r="E9" s="234">
        <v>302600000</v>
      </c>
      <c r="F9" s="234">
        <v>600000000</v>
      </c>
      <c r="G9" s="235">
        <v>1500000000</v>
      </c>
    </row>
    <row r="10" spans="1:7" ht="29.25" customHeight="1" x14ac:dyDescent="0.15">
      <c r="A10" s="80" t="s">
        <v>55</v>
      </c>
      <c r="B10" s="233">
        <v>28124371</v>
      </c>
      <c r="C10" s="233">
        <v>28180000</v>
      </c>
      <c r="D10" s="233">
        <v>14725000</v>
      </c>
      <c r="E10" s="234">
        <v>30260000</v>
      </c>
      <c r="F10" s="234">
        <v>60000000</v>
      </c>
      <c r="G10" s="235">
        <v>150000000</v>
      </c>
    </row>
    <row r="11" spans="1:7" ht="29.25" customHeight="1" thickBot="1" x14ac:dyDescent="0.2">
      <c r="A11" s="81" t="s">
        <v>56</v>
      </c>
      <c r="B11" s="207">
        <f>+B8+B9-B10</f>
        <v>25281661</v>
      </c>
      <c r="C11" s="207">
        <f>+C8+C9-C10</f>
        <v>-69649746</v>
      </c>
      <c r="D11" s="207">
        <f t="shared" ref="D11:G11" si="2">+D8+D9-D10</f>
        <v>796890876</v>
      </c>
      <c r="E11" s="208">
        <f t="shared" si="2"/>
        <v>3255045099</v>
      </c>
      <c r="F11" s="208">
        <f t="shared" si="2"/>
        <v>8248418108</v>
      </c>
      <c r="G11" s="209">
        <f t="shared" si="2"/>
        <v>25174075937</v>
      </c>
    </row>
    <row r="12" spans="1:7" ht="16.5" hidden="1" customHeight="1" x14ac:dyDescent="0.15">
      <c r="A12" s="78" t="s">
        <v>57</v>
      </c>
      <c r="B12" s="78"/>
      <c r="C12" s="79">
        <f>100000000*0.143+(C11-100000000)*0.275</f>
        <v>-32353680.150000006</v>
      </c>
      <c r="D12" s="79">
        <f t="shared" ref="D12:G12" si="3">100000000*0.143+(D11-100000000)*0.275</f>
        <v>205944990.90000001</v>
      </c>
      <c r="E12" s="116">
        <f t="shared" si="3"/>
        <v>881937402.22500002</v>
      </c>
      <c r="F12" s="116">
        <f t="shared" si="3"/>
        <v>2255114979.7000003</v>
      </c>
      <c r="G12" s="9">
        <f t="shared" si="3"/>
        <v>6909670882.6750002</v>
      </c>
    </row>
    <row r="13" spans="1:7" ht="16.5" hidden="1" customHeight="1" x14ac:dyDescent="0.15">
      <c r="A13" s="12" t="s">
        <v>58</v>
      </c>
      <c r="B13" s="203"/>
      <c r="C13" s="13">
        <f>C11-C12</f>
        <v>-37296065.849999994</v>
      </c>
      <c r="D13" s="13">
        <f t="shared" ref="D13:G13" si="4">D11-D12</f>
        <v>590945885.10000002</v>
      </c>
      <c r="E13" s="116">
        <f t="shared" si="4"/>
        <v>2373107696.7750001</v>
      </c>
      <c r="F13" s="116">
        <f t="shared" si="4"/>
        <v>5993303128.2999992</v>
      </c>
      <c r="G13" s="9">
        <f t="shared" si="4"/>
        <v>18264405054.325001</v>
      </c>
    </row>
    <row r="14" spans="1:7" ht="16.5" customHeight="1" thickBot="1" x14ac:dyDescent="0.2"/>
    <row r="15" spans="1:7" ht="16.5" customHeight="1" x14ac:dyDescent="0.15">
      <c r="A15" s="210" t="s">
        <v>280</v>
      </c>
      <c r="B15" s="211"/>
      <c r="C15" s="212">
        <f>+C4/B4-1</f>
        <v>0.38294075638349723</v>
      </c>
      <c r="D15" s="212">
        <f t="shared" ref="D15:G15" si="5">+D4/C4-1</f>
        <v>1.0901348474095105</v>
      </c>
      <c r="E15" s="212">
        <f t="shared" si="5"/>
        <v>1.0550084889643463</v>
      </c>
      <c r="F15" s="212">
        <f t="shared" si="5"/>
        <v>0.98281559814937203</v>
      </c>
      <c r="G15" s="213">
        <f t="shared" si="5"/>
        <v>1.5</v>
      </c>
    </row>
    <row r="16" spans="1:7" ht="16.5" customHeight="1" x14ac:dyDescent="0.15">
      <c r="A16" s="214"/>
      <c r="C16" s="116"/>
      <c r="D16" s="116"/>
      <c r="E16" s="116"/>
      <c r="F16" s="116"/>
      <c r="G16" s="215"/>
    </row>
    <row r="17" spans="1:7" ht="16.5" customHeight="1" x14ac:dyDescent="0.15">
      <c r="A17" s="214" t="s">
        <v>278</v>
      </c>
      <c r="B17" s="216">
        <f>+B8/B4</f>
        <v>-0.41414528242175169</v>
      </c>
      <c r="C17" s="216">
        <f>+C8/C4</f>
        <v>-0.22943204116394605</v>
      </c>
      <c r="D17" s="116">
        <f t="shared" ref="D17:G17" si="6">+D8/D4</f>
        <v>0.22559112937181663</v>
      </c>
      <c r="E17" s="116">
        <f t="shared" si="6"/>
        <v>0.49284618291473892</v>
      </c>
      <c r="F17" s="116">
        <f t="shared" si="6"/>
        <v>0.64236817566666671</v>
      </c>
      <c r="G17" s="215">
        <f t="shared" si="6"/>
        <v>0.79413586456666663</v>
      </c>
    </row>
    <row r="18" spans="1:7" ht="16.5" customHeight="1" thickBot="1" x14ac:dyDescent="0.2">
      <c r="A18" s="217" t="s">
        <v>279</v>
      </c>
      <c r="B18" s="218">
        <f>+B11/B4</f>
        <v>2.4814080472655192E-2</v>
      </c>
      <c r="C18" s="218">
        <f>+C11/C4</f>
        <v>-4.9432041163946061E-2</v>
      </c>
      <c r="D18" s="219">
        <f t="shared" ref="D18:G18" si="7">+D11/D4</f>
        <v>0.27059112937181662</v>
      </c>
      <c r="E18" s="219">
        <f t="shared" si="7"/>
        <v>0.53784618291473896</v>
      </c>
      <c r="F18" s="219">
        <f t="shared" si="7"/>
        <v>0.68736817566666664</v>
      </c>
      <c r="G18" s="220">
        <f t="shared" si="7"/>
        <v>0.83913586456666667</v>
      </c>
    </row>
    <row r="21" spans="1:7" ht="200.1" customHeight="1" x14ac:dyDescent="0.15">
      <c r="A21" s="365" t="s">
        <v>432</v>
      </c>
      <c r="B21" s="366"/>
      <c r="C21" s="366"/>
      <c r="D21" s="366"/>
      <c r="E21" s="366"/>
      <c r="F21" s="366"/>
      <c r="G21" s="366"/>
    </row>
    <row r="22" spans="1:7" ht="200.1" customHeight="1" x14ac:dyDescent="0.15">
      <c r="A22" s="366"/>
      <c r="B22" s="366"/>
      <c r="C22" s="366"/>
      <c r="D22" s="366"/>
      <c r="E22" s="366"/>
      <c r="F22" s="366"/>
      <c r="G22" s="366"/>
    </row>
  </sheetData>
  <mergeCells count="1">
    <mergeCell ref="A21:G22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AA66"/>
  <sheetViews>
    <sheetView tabSelected="1" topLeftCell="A4" zoomScaleNormal="100" zoomScaleSheetLayoutView="85" workbookViewId="0">
      <selection activeCell="F56" sqref="F56"/>
    </sheetView>
  </sheetViews>
  <sheetFormatPr defaultColWidth="12.88671875" defaultRowHeight="16.5" customHeight="1" x14ac:dyDescent="0.15"/>
  <cols>
    <col min="1" max="1" width="2.77734375" style="37" customWidth="1"/>
    <col min="2" max="2" width="12.88671875" style="37"/>
    <col min="3" max="5" width="14.88671875" style="37" bestFit="1" customWidth="1"/>
    <col min="6" max="7" width="16" style="37" bestFit="1" customWidth="1"/>
    <col min="8" max="8" width="12.88671875" style="37"/>
    <col min="9" max="12" width="12.88671875" style="37" customWidth="1"/>
    <col min="13" max="16384" width="12.88671875" style="37"/>
  </cols>
  <sheetData>
    <row r="1" spans="2:21" ht="16.5" customHeight="1" x14ac:dyDescent="0.15">
      <c r="B1" s="6" t="s">
        <v>173</v>
      </c>
    </row>
    <row r="3" spans="2:21" ht="16.5" customHeight="1" x14ac:dyDescent="0.15">
      <c r="B3" s="36" t="s">
        <v>6</v>
      </c>
    </row>
    <row r="4" spans="2:21" s="173" customFormat="1" ht="16.5" customHeight="1" x14ac:dyDescent="0.15">
      <c r="U4" s="174" t="s">
        <v>242</v>
      </c>
    </row>
    <row r="5" spans="2:21" s="173" customFormat="1" ht="16.5" customHeight="1" x14ac:dyDescent="0.15">
      <c r="B5" s="387" t="s">
        <v>41</v>
      </c>
      <c r="C5" s="383" t="s">
        <v>220</v>
      </c>
      <c r="D5" s="384"/>
      <c r="E5" s="383" t="s">
        <v>228</v>
      </c>
      <c r="F5" s="384"/>
      <c r="G5" s="383" t="s">
        <v>251</v>
      </c>
      <c r="H5" s="384"/>
      <c r="I5" s="380" t="s">
        <v>248</v>
      </c>
      <c r="J5" s="382"/>
      <c r="K5" s="382"/>
      <c r="L5" s="381"/>
      <c r="M5" s="383" t="s">
        <v>229</v>
      </c>
      <c r="N5" s="384"/>
      <c r="O5" s="383" t="s">
        <v>219</v>
      </c>
      <c r="P5" s="384"/>
      <c r="Q5" s="383" t="s">
        <v>227</v>
      </c>
      <c r="R5" s="384"/>
      <c r="S5" s="383" t="s">
        <v>247</v>
      </c>
      <c r="T5" s="384"/>
      <c r="U5" s="377" t="s">
        <v>243</v>
      </c>
    </row>
    <row r="6" spans="2:21" s="173" customFormat="1" ht="16.5" customHeight="1" x14ac:dyDescent="0.15">
      <c r="B6" s="378"/>
      <c r="C6" s="385"/>
      <c r="D6" s="386"/>
      <c r="E6" s="385"/>
      <c r="F6" s="386"/>
      <c r="G6" s="385"/>
      <c r="H6" s="386"/>
      <c r="I6" s="380" t="s">
        <v>249</v>
      </c>
      <c r="J6" s="381"/>
      <c r="K6" s="380" t="s">
        <v>42</v>
      </c>
      <c r="L6" s="381"/>
      <c r="M6" s="385"/>
      <c r="N6" s="386"/>
      <c r="O6" s="385"/>
      <c r="P6" s="386"/>
      <c r="Q6" s="385"/>
      <c r="R6" s="386"/>
      <c r="S6" s="385"/>
      <c r="T6" s="386"/>
      <c r="U6" s="378"/>
    </row>
    <row r="7" spans="2:21" s="173" customFormat="1" ht="16.5" customHeight="1" x14ac:dyDescent="0.15">
      <c r="B7" s="379"/>
      <c r="C7" s="175" t="s">
        <v>43</v>
      </c>
      <c r="D7" s="175" t="s">
        <v>5</v>
      </c>
      <c r="E7" s="175" t="s">
        <v>43</v>
      </c>
      <c r="F7" s="175" t="s">
        <v>5</v>
      </c>
      <c r="G7" s="175" t="s">
        <v>43</v>
      </c>
      <c r="H7" s="175" t="s">
        <v>5</v>
      </c>
      <c r="I7" s="175" t="s">
        <v>43</v>
      </c>
      <c r="J7" s="175" t="s">
        <v>5</v>
      </c>
      <c r="K7" s="175" t="s">
        <v>43</v>
      </c>
      <c r="L7" s="175" t="s">
        <v>5</v>
      </c>
      <c r="M7" s="175" t="s">
        <v>43</v>
      </c>
      <c r="N7" s="175" t="s">
        <v>5</v>
      </c>
      <c r="O7" s="175" t="s">
        <v>43</v>
      </c>
      <c r="P7" s="175" t="s">
        <v>5</v>
      </c>
      <c r="Q7" s="175" t="s">
        <v>43</v>
      </c>
      <c r="R7" s="175" t="s">
        <v>5</v>
      </c>
      <c r="S7" s="175" t="s">
        <v>43</v>
      </c>
      <c r="T7" s="175" t="s">
        <v>5</v>
      </c>
      <c r="U7" s="379"/>
    </row>
    <row r="8" spans="2:21" s="173" customFormat="1" ht="16.5" customHeight="1" x14ac:dyDescent="0.15">
      <c r="B8" s="176" t="s">
        <v>456</v>
      </c>
      <c r="C8" s="236"/>
      <c r="D8" s="236">
        <v>0</v>
      </c>
      <c r="E8" s="236"/>
      <c r="F8" s="236">
        <v>16271598</v>
      </c>
      <c r="G8" s="418"/>
      <c r="H8" s="236">
        <v>46894931</v>
      </c>
      <c r="I8" s="236"/>
      <c r="J8" s="236">
        <v>10907306</v>
      </c>
      <c r="K8" s="236"/>
      <c r="L8" s="236">
        <v>244858433</v>
      </c>
      <c r="M8" s="236"/>
      <c r="N8" s="236">
        <v>751788947</v>
      </c>
      <c r="O8" s="236"/>
      <c r="P8" s="236">
        <v>2108753272</v>
      </c>
      <c r="Q8" s="236"/>
      <c r="R8" s="236">
        <v>5927272727</v>
      </c>
      <c r="S8" s="236"/>
      <c r="T8" s="236">
        <v>17938303029</v>
      </c>
      <c r="U8" s="236">
        <v>124975000</v>
      </c>
    </row>
    <row r="9" spans="2:21" s="173" customFormat="1" ht="16.5" customHeight="1" x14ac:dyDescent="0.15">
      <c r="B9" s="176" t="s">
        <v>457</v>
      </c>
      <c r="C9" s="418"/>
      <c r="D9" s="236">
        <v>54535</v>
      </c>
      <c r="E9" s="417"/>
      <c r="F9" s="236">
        <v>255236</v>
      </c>
      <c r="G9" s="418"/>
      <c r="H9" s="236">
        <v>407782</v>
      </c>
      <c r="I9" s="236"/>
      <c r="J9" s="236">
        <v>238489</v>
      </c>
      <c r="K9" s="236"/>
      <c r="L9" s="236">
        <v>2829317</v>
      </c>
      <c r="M9" s="236"/>
      <c r="N9" s="236">
        <v>8879396</v>
      </c>
      <c r="O9" s="236"/>
      <c r="P9" s="236">
        <v>18283987</v>
      </c>
      <c r="Q9" s="236"/>
      <c r="R9" s="236">
        <v>60606060</v>
      </c>
      <c r="S9" s="236"/>
      <c r="T9" s="236">
        <v>120121210</v>
      </c>
      <c r="U9" s="236"/>
    </row>
    <row r="10" spans="2:21" s="173" customFormat="1" ht="16.5" customHeight="1" x14ac:dyDescent="0.15">
      <c r="B10" s="176" t="s">
        <v>461</v>
      </c>
      <c r="C10" s="236"/>
      <c r="D10" s="236">
        <v>0</v>
      </c>
      <c r="E10" s="236"/>
      <c r="F10" s="236">
        <v>0</v>
      </c>
      <c r="G10" s="236"/>
      <c r="H10" s="236">
        <v>0</v>
      </c>
      <c r="I10" s="236"/>
      <c r="J10" s="236">
        <v>0</v>
      </c>
      <c r="K10" s="236"/>
      <c r="L10" s="236">
        <v>0</v>
      </c>
      <c r="M10" s="236"/>
      <c r="N10" s="236">
        <v>10000000</v>
      </c>
      <c r="O10" s="236"/>
      <c r="P10" s="236">
        <v>25000000</v>
      </c>
      <c r="Q10" s="236"/>
      <c r="R10" s="236">
        <v>76000000</v>
      </c>
      <c r="S10" s="236"/>
      <c r="T10" s="236">
        <v>140000000</v>
      </c>
      <c r="U10" s="236"/>
    </row>
    <row r="11" spans="2:21" s="173" customFormat="1" ht="16.5" customHeight="1" x14ac:dyDescent="0.15">
      <c r="B11" s="176" t="s">
        <v>458</v>
      </c>
      <c r="C11" s="418"/>
      <c r="D11" s="236">
        <v>40723004</v>
      </c>
      <c r="E11" s="418"/>
      <c r="F11" s="236">
        <v>130581655</v>
      </c>
      <c r="G11" s="236"/>
      <c r="H11" s="236">
        <v>177385174</v>
      </c>
      <c r="I11" s="236"/>
      <c r="J11" s="236">
        <v>32790444</v>
      </c>
      <c r="K11" s="236"/>
      <c r="L11" s="236">
        <v>200759036</v>
      </c>
      <c r="M11" s="236"/>
      <c r="N11" s="236">
        <v>286100502</v>
      </c>
      <c r="O11" s="236"/>
      <c r="P11" s="236">
        <v>450005035</v>
      </c>
      <c r="Q11" s="236"/>
      <c r="R11" s="236">
        <v>606060606</v>
      </c>
      <c r="S11" s="236"/>
      <c r="T11" s="236">
        <v>958080808</v>
      </c>
      <c r="U11" s="236"/>
    </row>
    <row r="12" spans="2:21" s="173" customFormat="1" ht="16.5" customHeight="1" x14ac:dyDescent="0.15">
      <c r="B12" s="176" t="s">
        <v>459</v>
      </c>
      <c r="C12" s="418"/>
      <c r="D12" s="236">
        <v>86438453</v>
      </c>
      <c r="E12" s="417"/>
      <c r="F12" s="236">
        <v>571514770</v>
      </c>
      <c r="G12" s="236"/>
      <c r="H12" s="236">
        <v>668762498</v>
      </c>
      <c r="I12" s="236"/>
      <c r="J12" s="236">
        <v>60859984</v>
      </c>
      <c r="K12" s="236"/>
      <c r="L12" s="236">
        <v>848795180</v>
      </c>
      <c r="M12" s="236"/>
      <c r="N12" s="236">
        <v>1725562814</v>
      </c>
      <c r="O12" s="236"/>
      <c r="P12" s="236">
        <v>3200076538</v>
      </c>
      <c r="Q12" s="236"/>
      <c r="R12" s="236">
        <v>5027030303</v>
      </c>
      <c r="S12" s="236"/>
      <c r="T12" s="236">
        <v>10266060606</v>
      </c>
      <c r="U12" s="236"/>
    </row>
    <row r="13" spans="2:21" s="173" customFormat="1" ht="16.5" customHeight="1" x14ac:dyDescent="0.15">
      <c r="B13" s="176" t="s">
        <v>460</v>
      </c>
      <c r="C13" s="418"/>
      <c r="D13" s="236">
        <v>36041311</v>
      </c>
      <c r="E13" s="417"/>
      <c r="F13" s="236">
        <v>80691260</v>
      </c>
      <c r="G13" s="236"/>
      <c r="H13" s="236">
        <v>125392970</v>
      </c>
      <c r="I13" s="236"/>
      <c r="J13" s="236">
        <v>34200000</v>
      </c>
      <c r="K13" s="236"/>
      <c r="L13" s="236">
        <v>111758034</v>
      </c>
      <c r="M13" s="236"/>
      <c r="N13" s="236">
        <v>171668341</v>
      </c>
      <c r="O13" s="236"/>
      <c r="P13" s="236">
        <v>249881168</v>
      </c>
      <c r="Q13" s="236"/>
      <c r="R13" s="236">
        <v>303030304</v>
      </c>
      <c r="S13" s="236"/>
      <c r="T13" s="236">
        <v>577434347</v>
      </c>
      <c r="U13" s="236"/>
    </row>
    <row r="14" spans="2:21" s="173" customFormat="1" ht="16.5" customHeight="1" x14ac:dyDescent="0.15">
      <c r="B14" s="176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</row>
    <row r="15" spans="2:21" s="173" customFormat="1" ht="16.5" customHeight="1" x14ac:dyDescent="0.15">
      <c r="B15" s="176" t="s">
        <v>7</v>
      </c>
      <c r="C15" s="178"/>
      <c r="D15" s="177">
        <f>SUM(D8:D14)</f>
        <v>163257303</v>
      </c>
      <c r="E15" s="178"/>
      <c r="F15" s="177">
        <f>SUM(F8:F14)</f>
        <v>799314519</v>
      </c>
      <c r="G15" s="178"/>
      <c r="H15" s="177">
        <f>SUM(H8:H14)</f>
        <v>1018843355</v>
      </c>
      <c r="I15" s="178"/>
      <c r="J15" s="177">
        <f>SUM(J8:J14)</f>
        <v>138996223</v>
      </c>
      <c r="K15" s="178"/>
      <c r="L15" s="177">
        <f>SUM(L8:L14)</f>
        <v>1409000000</v>
      </c>
      <c r="M15" s="178"/>
      <c r="N15" s="177">
        <f>SUM(N8:N14)</f>
        <v>2954000000</v>
      </c>
      <c r="O15" s="178"/>
      <c r="P15" s="177">
        <f>SUM(P8:P14)</f>
        <v>6052000000</v>
      </c>
      <c r="Q15" s="178"/>
      <c r="R15" s="177">
        <f>SUM(R8:R14)</f>
        <v>12000000000</v>
      </c>
      <c r="S15" s="178"/>
      <c r="T15" s="177">
        <f>SUM(T8:T14)</f>
        <v>30000000000</v>
      </c>
      <c r="U15" s="179">
        <f>SUM(U8:U14)</f>
        <v>124975000</v>
      </c>
    </row>
    <row r="16" spans="2:21" s="173" customFormat="1" ht="16.5" customHeight="1" x14ac:dyDescent="0.15">
      <c r="B16" s="176" t="s">
        <v>8</v>
      </c>
      <c r="C16" s="178"/>
      <c r="D16" s="236"/>
      <c r="E16" s="178"/>
      <c r="F16" s="236"/>
      <c r="G16" s="178"/>
      <c r="H16" s="236"/>
      <c r="I16" s="178"/>
      <c r="J16" s="236"/>
      <c r="K16" s="178"/>
      <c r="L16" s="236"/>
      <c r="M16" s="178"/>
      <c r="N16" s="236"/>
      <c r="O16" s="178"/>
      <c r="P16" s="236"/>
      <c r="Q16" s="178"/>
      <c r="R16" s="236"/>
      <c r="S16" s="178"/>
      <c r="T16" s="236"/>
      <c r="U16" s="236"/>
    </row>
    <row r="17" spans="2:21" s="173" customFormat="1" ht="16.5" customHeight="1" x14ac:dyDescent="0.15">
      <c r="B17" s="176" t="s">
        <v>9</v>
      </c>
      <c r="C17" s="178"/>
      <c r="D17" s="236"/>
      <c r="E17" s="178"/>
      <c r="F17" s="236"/>
      <c r="G17" s="178"/>
      <c r="H17" s="236"/>
      <c r="I17" s="178"/>
      <c r="J17" s="236"/>
      <c r="K17" s="178"/>
      <c r="L17" s="236"/>
      <c r="M17" s="178"/>
      <c r="N17" s="236"/>
      <c r="O17" s="178"/>
      <c r="P17" s="236"/>
      <c r="Q17" s="178"/>
      <c r="R17" s="236"/>
      <c r="S17" s="178"/>
      <c r="T17" s="236"/>
      <c r="U17" s="236"/>
    </row>
    <row r="18" spans="2:21" s="173" customFormat="1" ht="16.5" customHeight="1" x14ac:dyDescent="0.15">
      <c r="B18" s="180" t="s">
        <v>10</v>
      </c>
      <c r="D18" s="411"/>
      <c r="E18" s="411"/>
      <c r="F18" s="411"/>
      <c r="H18" s="411"/>
      <c r="I18" s="181" t="s">
        <v>281</v>
      </c>
      <c r="J18" s="411"/>
      <c r="R18" s="411"/>
      <c r="T18" s="411"/>
    </row>
    <row r="19" spans="2:21" s="173" customFormat="1" ht="39.950000000000003" customHeight="1" x14ac:dyDescent="0.15">
      <c r="B19" s="375" t="s">
        <v>465</v>
      </c>
      <c r="C19" s="376"/>
      <c r="D19" s="376"/>
      <c r="E19" s="376"/>
      <c r="F19" s="376"/>
      <c r="G19" s="376"/>
      <c r="H19" s="376"/>
      <c r="I19" s="376"/>
      <c r="J19" s="376"/>
      <c r="R19" s="419"/>
      <c r="T19" s="412"/>
    </row>
    <row r="20" spans="2:21" s="173" customFormat="1" ht="39.950000000000003" customHeight="1" x14ac:dyDescent="0.15">
      <c r="B20" s="376"/>
      <c r="C20" s="376"/>
      <c r="D20" s="376"/>
      <c r="E20" s="376"/>
      <c r="F20" s="376"/>
      <c r="G20" s="376"/>
      <c r="H20" s="376"/>
      <c r="I20" s="376"/>
      <c r="J20" s="376"/>
      <c r="T20" s="419"/>
    </row>
    <row r="21" spans="2:21" ht="16.5" customHeight="1" x14ac:dyDescent="0.15">
      <c r="K21" s="173"/>
      <c r="L21" s="173"/>
      <c r="M21" s="173"/>
      <c r="N21" s="173"/>
      <c r="O21" s="173"/>
      <c r="P21" s="173"/>
    </row>
    <row r="22" spans="2:21" ht="16.5" customHeight="1" x14ac:dyDescent="0.15">
      <c r="B22" s="36" t="s">
        <v>11</v>
      </c>
      <c r="K22" s="173"/>
      <c r="L22" s="173"/>
      <c r="M22" s="173"/>
      <c r="N22" s="173"/>
      <c r="O22" s="173"/>
      <c r="P22" s="173"/>
    </row>
    <row r="23" spans="2:21" s="173" customFormat="1" ht="16.5" customHeight="1" x14ac:dyDescent="0.15">
      <c r="F23" s="174" t="s">
        <v>244</v>
      </c>
    </row>
    <row r="24" spans="2:21" s="173" customFormat="1" ht="36" customHeight="1" x14ac:dyDescent="0.15">
      <c r="B24" s="175" t="s">
        <v>12</v>
      </c>
      <c r="C24" s="175" t="s">
        <v>13</v>
      </c>
      <c r="D24" s="175" t="s">
        <v>14</v>
      </c>
      <c r="E24" s="182" t="s">
        <v>15</v>
      </c>
      <c r="F24" s="182" t="s">
        <v>16</v>
      </c>
    </row>
    <row r="25" spans="2:21" s="173" customFormat="1" ht="16.5" customHeight="1" x14ac:dyDescent="0.15">
      <c r="B25" s="237" t="s">
        <v>418</v>
      </c>
      <c r="C25" s="236">
        <v>55000000</v>
      </c>
      <c r="D25" s="271" t="s">
        <v>422</v>
      </c>
      <c r="E25" s="236">
        <v>33000000</v>
      </c>
      <c r="F25" s="236">
        <v>22000000</v>
      </c>
    </row>
    <row r="26" spans="2:21" s="173" customFormat="1" ht="16.5" customHeight="1" x14ac:dyDescent="0.15">
      <c r="B26" s="237" t="s">
        <v>419</v>
      </c>
      <c r="C26" s="236">
        <v>8500000</v>
      </c>
      <c r="D26" s="271" t="s">
        <v>426</v>
      </c>
      <c r="E26" s="236">
        <v>4250000</v>
      </c>
      <c r="F26" s="236">
        <v>4250000</v>
      </c>
    </row>
    <row r="27" spans="2:21" s="173" customFormat="1" ht="16.5" customHeight="1" x14ac:dyDescent="0.15">
      <c r="B27" s="237" t="s">
        <v>420</v>
      </c>
      <c r="C27" s="236">
        <v>4400000</v>
      </c>
      <c r="D27" s="271" t="s">
        <v>426</v>
      </c>
      <c r="E27" s="236">
        <v>0</v>
      </c>
      <c r="F27" s="236">
        <v>4400000</v>
      </c>
    </row>
    <row r="28" spans="2:21" s="173" customFormat="1" ht="16.5" customHeight="1" x14ac:dyDescent="0.15">
      <c r="B28" s="269" t="s">
        <v>421</v>
      </c>
      <c r="C28" s="270">
        <v>2640000</v>
      </c>
      <c r="D28" s="272" t="s">
        <v>426</v>
      </c>
      <c r="E28" s="270">
        <v>2640000</v>
      </c>
      <c r="F28" s="270">
        <v>0</v>
      </c>
    </row>
    <row r="29" spans="2:21" s="173" customFormat="1" ht="16.5" customHeight="1" x14ac:dyDescent="0.15">
      <c r="B29" s="269" t="s">
        <v>423</v>
      </c>
      <c r="C29" s="270">
        <v>22000000</v>
      </c>
      <c r="D29" s="272" t="s">
        <v>422</v>
      </c>
      <c r="E29" s="270">
        <v>22000000</v>
      </c>
      <c r="F29" s="270">
        <v>0</v>
      </c>
    </row>
    <row r="30" spans="2:21" s="173" customFormat="1" ht="16.5" customHeight="1" x14ac:dyDescent="0.15">
      <c r="B30" s="269" t="s">
        <v>424</v>
      </c>
      <c r="C30" s="270">
        <v>50000000</v>
      </c>
      <c r="D30" s="272" t="s">
        <v>425</v>
      </c>
      <c r="E30" s="270">
        <v>25000000</v>
      </c>
      <c r="F30" s="270">
        <v>25000000</v>
      </c>
    </row>
    <row r="31" spans="2:21" s="173" customFormat="1" ht="16.5" customHeight="1" x14ac:dyDescent="0.15">
      <c r="B31" s="237" t="s">
        <v>427</v>
      </c>
      <c r="C31" s="236">
        <v>7500000</v>
      </c>
      <c r="D31" s="271" t="s">
        <v>425</v>
      </c>
      <c r="E31" s="236">
        <v>0</v>
      </c>
      <c r="F31" s="236">
        <v>7500000</v>
      </c>
    </row>
    <row r="32" spans="2:21" s="173" customFormat="1" ht="16.5" customHeight="1" x14ac:dyDescent="0.15">
      <c r="B32" s="269" t="s">
        <v>428</v>
      </c>
      <c r="C32" s="270">
        <v>4200000</v>
      </c>
      <c r="D32" s="272" t="s">
        <v>425</v>
      </c>
      <c r="E32" s="270">
        <v>0</v>
      </c>
      <c r="F32" s="270">
        <v>4200000</v>
      </c>
    </row>
    <row r="33" spans="2:22" s="173" customFormat="1" ht="16.5" customHeight="1" x14ac:dyDescent="0.15">
      <c r="B33" s="269" t="s">
        <v>431</v>
      </c>
      <c r="C33" s="270">
        <v>55000000</v>
      </c>
      <c r="D33" s="272" t="s">
        <v>425</v>
      </c>
      <c r="E33" s="270">
        <v>30000000</v>
      </c>
      <c r="F33" s="270">
        <v>25000000</v>
      </c>
    </row>
    <row r="34" spans="2:22" s="173" customFormat="1" ht="16.5" customHeight="1" x14ac:dyDescent="0.15">
      <c r="B34" s="237" t="s">
        <v>430</v>
      </c>
      <c r="C34" s="236">
        <v>43500000</v>
      </c>
      <c r="D34" s="271" t="s">
        <v>429</v>
      </c>
      <c r="E34" s="236">
        <v>10875000</v>
      </c>
      <c r="F34" s="236">
        <v>32625000</v>
      </c>
    </row>
    <row r="35" spans="2:22" s="173" customFormat="1" ht="16.5" customHeight="1" x14ac:dyDescent="0.15">
      <c r="B35" s="183" t="s">
        <v>17</v>
      </c>
      <c r="C35" s="177">
        <f>SUM(C25:C34)</f>
        <v>252740000</v>
      </c>
      <c r="D35" s="177"/>
      <c r="E35" s="177">
        <f>SUM(E25:E34)</f>
        <v>127765000</v>
      </c>
      <c r="F35" s="179">
        <f>SUM(F25:F34)</f>
        <v>124975000</v>
      </c>
    </row>
    <row r="36" spans="2:22" s="173" customFormat="1" ht="16.5" customHeight="1" x14ac:dyDescent="0.15">
      <c r="B36" s="184" t="s">
        <v>245</v>
      </c>
    </row>
    <row r="37" spans="2:22" s="173" customFormat="1" ht="16.5" customHeight="1" x14ac:dyDescent="0.15">
      <c r="B37" s="375" t="s">
        <v>435</v>
      </c>
      <c r="C37" s="375"/>
      <c r="D37" s="375"/>
      <c r="E37" s="375"/>
      <c r="F37" s="375"/>
      <c r="G37" s="375"/>
      <c r="H37" s="375"/>
      <c r="I37" s="375"/>
      <c r="J37" s="375"/>
    </row>
    <row r="38" spans="2:22" ht="16.5" customHeight="1" x14ac:dyDescent="0.15">
      <c r="B38" s="375"/>
      <c r="C38" s="375"/>
      <c r="D38" s="375"/>
      <c r="E38" s="375"/>
      <c r="F38" s="375"/>
      <c r="G38" s="375"/>
      <c r="H38" s="375"/>
      <c r="I38" s="375"/>
      <c r="J38" s="375"/>
    </row>
    <row r="39" spans="2:22" ht="16.5" customHeight="1" x14ac:dyDescent="0.15">
      <c r="B39" s="273"/>
      <c r="C39" s="273"/>
      <c r="D39" s="273"/>
      <c r="E39" s="273"/>
      <c r="F39" s="273"/>
      <c r="G39" s="273"/>
      <c r="H39" s="273"/>
      <c r="I39" s="273"/>
      <c r="J39" s="273"/>
    </row>
    <row r="40" spans="2:22" ht="16.5" customHeight="1" x14ac:dyDescent="0.15">
      <c r="B40" s="36" t="s">
        <v>18</v>
      </c>
      <c r="D40" s="423"/>
      <c r="E40" s="423"/>
      <c r="F40" s="423"/>
      <c r="G40" s="412"/>
    </row>
    <row r="41" spans="2:22" ht="16.5" customHeight="1" x14ac:dyDescent="0.15">
      <c r="E41" s="411"/>
    </row>
    <row r="42" spans="2:22" customFormat="1" ht="18" thickBot="1" x14ac:dyDescent="0.2">
      <c r="B42" s="420" t="s">
        <v>464</v>
      </c>
      <c r="C42" s="422"/>
      <c r="D42" s="421"/>
      <c r="E42" s="421"/>
      <c r="F42" s="421"/>
      <c r="G42" s="421"/>
      <c r="H42" s="421"/>
      <c r="I42" s="421"/>
      <c r="J42" s="421"/>
      <c r="K42" s="421"/>
      <c r="L42" s="421"/>
      <c r="M42" s="134"/>
      <c r="N42" s="134"/>
      <c r="O42" s="134"/>
      <c r="P42" s="134"/>
      <c r="Q42" s="135" t="s">
        <v>230</v>
      </c>
      <c r="R42" s="134"/>
      <c r="S42" s="134"/>
      <c r="T42" s="134"/>
      <c r="U42" s="134"/>
    </row>
    <row r="43" spans="2:22" customFormat="1" ht="13.5" x14ac:dyDescent="0.15">
      <c r="B43" s="367" t="s">
        <v>84</v>
      </c>
      <c r="C43" s="369" t="s">
        <v>231</v>
      </c>
      <c r="D43" s="370"/>
      <c r="E43" s="370"/>
      <c r="F43" s="370"/>
      <c r="G43" s="371"/>
      <c r="H43" s="369" t="s">
        <v>232</v>
      </c>
      <c r="I43" s="370"/>
      <c r="J43" s="370"/>
      <c r="K43" s="370"/>
      <c r="L43" s="371"/>
      <c r="M43" s="372" t="s">
        <v>233</v>
      </c>
      <c r="N43" s="373"/>
      <c r="O43" s="373"/>
      <c r="P43" s="373"/>
      <c r="Q43" s="374"/>
      <c r="R43" s="134"/>
      <c r="S43" s="134" t="s">
        <v>234</v>
      </c>
      <c r="T43" s="134"/>
      <c r="U43" s="135" t="s">
        <v>235</v>
      </c>
    </row>
    <row r="44" spans="2:22" customFormat="1" ht="14.25" thickBot="1" x14ac:dyDescent="0.2">
      <c r="B44" s="368"/>
      <c r="C44" s="137">
        <v>2025</v>
      </c>
      <c r="D44" s="138">
        <v>2026</v>
      </c>
      <c r="E44" s="138">
        <v>2027</v>
      </c>
      <c r="F44" s="138">
        <v>2028</v>
      </c>
      <c r="G44" s="139" t="s">
        <v>252</v>
      </c>
      <c r="H44" s="137">
        <v>2025</v>
      </c>
      <c r="I44" s="138">
        <v>2026</v>
      </c>
      <c r="J44" s="138">
        <v>2027</v>
      </c>
      <c r="K44" s="138">
        <v>2028</v>
      </c>
      <c r="L44" s="139" t="s">
        <v>252</v>
      </c>
      <c r="M44" s="137">
        <v>2025</v>
      </c>
      <c r="N44" s="138">
        <v>2026</v>
      </c>
      <c r="O44" s="138">
        <v>2027</v>
      </c>
      <c r="P44" s="138">
        <v>2028</v>
      </c>
      <c r="Q44" s="139" t="s">
        <v>252</v>
      </c>
      <c r="R44" s="134"/>
      <c r="S44" s="140"/>
      <c r="T44" s="140" t="s">
        <v>236</v>
      </c>
      <c r="U44" s="140" t="s">
        <v>237</v>
      </c>
    </row>
    <row r="45" spans="2:22" customFormat="1" ht="13.5" x14ac:dyDescent="0.15">
      <c r="B45" s="141" t="str">
        <f t="shared" ref="B45:B51" si="0">B8</f>
        <v>구독서비스</v>
      </c>
      <c r="C45" s="424">
        <v>4.9400000000000004</v>
      </c>
      <c r="D45" s="424">
        <v>8</v>
      </c>
      <c r="E45" s="424">
        <v>11</v>
      </c>
      <c r="F45" s="424">
        <v>45</v>
      </c>
      <c r="G45" s="425">
        <v>170</v>
      </c>
      <c r="H45" s="432">
        <v>1.25</v>
      </c>
      <c r="I45" s="424">
        <v>8</v>
      </c>
      <c r="J45" s="424">
        <v>42.5</v>
      </c>
      <c r="K45" s="424">
        <v>85</v>
      </c>
      <c r="L45" s="425">
        <v>200</v>
      </c>
      <c r="M45" s="142">
        <f>+C45+H45</f>
        <v>6.19</v>
      </c>
      <c r="N45" s="143">
        <f t="shared" ref="N45:N51" si="1">+D45+I45</f>
        <v>16</v>
      </c>
      <c r="O45" s="143">
        <f t="shared" ref="O45:O51" si="2">+E45+J45</f>
        <v>53.5</v>
      </c>
      <c r="P45" s="143">
        <f t="shared" ref="P45:P51" si="3">+F45+K45</f>
        <v>130</v>
      </c>
      <c r="Q45" s="144">
        <f t="shared" ref="Q45:Q51" si="4">+G45+L45</f>
        <v>370</v>
      </c>
      <c r="R45" s="134"/>
      <c r="S45" s="140" t="str">
        <f>B45</f>
        <v>구독서비스</v>
      </c>
      <c r="T45" s="414">
        <v>2.52E-2</v>
      </c>
      <c r="U45" s="413">
        <v>0.04</v>
      </c>
      <c r="V45" s="145"/>
    </row>
    <row r="46" spans="2:22" customFormat="1" ht="13.5" x14ac:dyDescent="0.15">
      <c r="B46" s="146" t="str">
        <f t="shared" si="0"/>
        <v>부가서비스</v>
      </c>
      <c r="C46" s="431">
        <v>6.5000000000000002E-2</v>
      </c>
      <c r="D46" s="426">
        <v>0.2</v>
      </c>
      <c r="E46" s="426">
        <v>0.35</v>
      </c>
      <c r="F46" s="426">
        <v>0.6</v>
      </c>
      <c r="G46" s="427">
        <v>1.75</v>
      </c>
      <c r="H46" s="433">
        <v>0</v>
      </c>
      <c r="I46" s="426">
        <v>17</v>
      </c>
      <c r="J46" s="426">
        <v>45</v>
      </c>
      <c r="K46" s="426">
        <v>90</v>
      </c>
      <c r="L46" s="427">
        <v>200</v>
      </c>
      <c r="M46" s="147">
        <f t="shared" ref="M46:M51" si="5">+C46+H46</f>
        <v>6.5000000000000002E-2</v>
      </c>
      <c r="N46" s="148">
        <f t="shared" si="1"/>
        <v>17.2</v>
      </c>
      <c r="O46" s="148">
        <f t="shared" si="2"/>
        <v>45.35</v>
      </c>
      <c r="P46" s="148">
        <f t="shared" si="3"/>
        <v>90.6</v>
      </c>
      <c r="Q46" s="149">
        <f t="shared" si="4"/>
        <v>201.75</v>
      </c>
      <c r="R46" s="134"/>
      <c r="S46" s="140" t="str">
        <f>B46</f>
        <v>부가서비스</v>
      </c>
      <c r="T46" s="413">
        <v>0.05</v>
      </c>
      <c r="U46" s="416">
        <v>7.0000000000000007E-2</v>
      </c>
    </row>
    <row r="47" spans="2:22" customFormat="1" ht="13.5" x14ac:dyDescent="0.15">
      <c r="B47" s="146" t="str">
        <f t="shared" si="0"/>
        <v>커머스거래수수료</v>
      </c>
      <c r="C47" s="428">
        <v>0</v>
      </c>
      <c r="D47" s="428">
        <v>0.26</v>
      </c>
      <c r="E47" s="428">
        <v>0.3</v>
      </c>
      <c r="F47" s="428">
        <v>0.6</v>
      </c>
      <c r="G47" s="429">
        <v>2.2599999999999998</v>
      </c>
      <c r="H47" s="430">
        <v>0</v>
      </c>
      <c r="I47" s="428">
        <v>0</v>
      </c>
      <c r="J47" s="428">
        <v>0</v>
      </c>
      <c r="K47" s="428">
        <v>0</v>
      </c>
      <c r="L47" s="429">
        <v>0</v>
      </c>
      <c r="M47" s="150">
        <f t="shared" si="5"/>
        <v>0</v>
      </c>
      <c r="N47" s="151">
        <f t="shared" si="1"/>
        <v>0.26</v>
      </c>
      <c r="O47" s="151">
        <f t="shared" si="2"/>
        <v>0.3</v>
      </c>
      <c r="P47" s="151">
        <f t="shared" si="3"/>
        <v>0.6</v>
      </c>
      <c r="Q47" s="152">
        <f t="shared" si="4"/>
        <v>2.2599999999999998</v>
      </c>
      <c r="R47" s="134"/>
      <c r="S47" s="140" t="str">
        <f t="shared" ref="S47:S51" si="6">B47</f>
        <v>커머스거래수수료</v>
      </c>
      <c r="T47" s="238">
        <v>8.0000000000000002E-3</v>
      </c>
      <c r="U47" s="413">
        <v>0.01</v>
      </c>
    </row>
    <row r="48" spans="2:22" customFormat="1" ht="13.5" x14ac:dyDescent="0.15">
      <c r="B48" s="146" t="str">
        <f t="shared" si="0"/>
        <v>솔루션판매</v>
      </c>
      <c r="C48" s="428">
        <v>5</v>
      </c>
      <c r="D48" s="428">
        <v>6.64</v>
      </c>
      <c r="E48" s="428">
        <v>10</v>
      </c>
      <c r="F48" s="428">
        <v>13.9</v>
      </c>
      <c r="G48" s="429">
        <v>21.46</v>
      </c>
      <c r="H48" s="430">
        <v>0</v>
      </c>
      <c r="I48" s="428">
        <v>0</v>
      </c>
      <c r="J48" s="428">
        <v>0</v>
      </c>
      <c r="K48" s="428">
        <v>0</v>
      </c>
      <c r="L48" s="429">
        <v>0</v>
      </c>
      <c r="M48" s="150">
        <f t="shared" si="5"/>
        <v>5</v>
      </c>
      <c r="N48" s="151">
        <f t="shared" si="1"/>
        <v>6.64</v>
      </c>
      <c r="O48" s="151">
        <f t="shared" si="2"/>
        <v>10</v>
      </c>
      <c r="P48" s="151">
        <f t="shared" si="3"/>
        <v>13.9</v>
      </c>
      <c r="Q48" s="152">
        <f t="shared" si="4"/>
        <v>21.46</v>
      </c>
      <c r="R48" s="134"/>
      <c r="S48" s="140" t="str">
        <f t="shared" si="6"/>
        <v>솔루션판매</v>
      </c>
      <c r="T48" s="415">
        <v>40</v>
      </c>
      <c r="U48" s="415">
        <v>506</v>
      </c>
    </row>
    <row r="49" spans="2:27" customFormat="1" ht="13.5" x14ac:dyDescent="0.15">
      <c r="B49" s="146" t="str">
        <f t="shared" si="0"/>
        <v>제작대행</v>
      </c>
      <c r="C49" s="428">
        <v>21.2</v>
      </c>
      <c r="D49" s="428">
        <v>30.25</v>
      </c>
      <c r="E49" s="428">
        <v>37.64</v>
      </c>
      <c r="F49" s="428">
        <v>58.4</v>
      </c>
      <c r="G49" s="429">
        <v>142.1</v>
      </c>
      <c r="H49" s="430">
        <v>0</v>
      </c>
      <c r="I49" s="428">
        <v>0</v>
      </c>
      <c r="J49" s="428">
        <v>0</v>
      </c>
      <c r="K49" s="428">
        <v>0</v>
      </c>
      <c r="L49" s="429">
        <v>0</v>
      </c>
      <c r="M49" s="150">
        <f t="shared" si="5"/>
        <v>21.2</v>
      </c>
      <c r="N49" s="151">
        <f t="shared" si="1"/>
        <v>30.25</v>
      </c>
      <c r="O49" s="151">
        <f t="shared" si="2"/>
        <v>37.64</v>
      </c>
      <c r="P49" s="151">
        <f t="shared" si="3"/>
        <v>58.4</v>
      </c>
      <c r="Q49" s="152">
        <f t="shared" si="4"/>
        <v>142.1</v>
      </c>
      <c r="R49" s="134"/>
      <c r="S49" s="140" t="str">
        <f t="shared" si="6"/>
        <v>제작대행</v>
      </c>
      <c r="T49" s="238" t="s">
        <v>462</v>
      </c>
      <c r="U49" s="239" t="s">
        <v>462</v>
      </c>
    </row>
    <row r="50" spans="2:27" customFormat="1" ht="13.5" x14ac:dyDescent="0.15">
      <c r="B50" s="146" t="str">
        <f t="shared" si="0"/>
        <v>유지보수 및 기타</v>
      </c>
      <c r="C50" s="428">
        <v>2.78</v>
      </c>
      <c r="D50" s="428">
        <v>3.5</v>
      </c>
      <c r="E50" s="428">
        <v>4.5</v>
      </c>
      <c r="F50" s="428">
        <v>6.5</v>
      </c>
      <c r="G50" s="429">
        <v>12.43</v>
      </c>
      <c r="H50" s="430">
        <v>0</v>
      </c>
      <c r="I50" s="428">
        <v>0</v>
      </c>
      <c r="J50" s="428">
        <v>0</v>
      </c>
      <c r="K50" s="428">
        <v>0</v>
      </c>
      <c r="L50" s="429">
        <v>0</v>
      </c>
      <c r="M50" s="150">
        <f t="shared" si="5"/>
        <v>2.78</v>
      </c>
      <c r="N50" s="151">
        <f t="shared" si="1"/>
        <v>3.5</v>
      </c>
      <c r="O50" s="151">
        <f t="shared" si="2"/>
        <v>4.5</v>
      </c>
      <c r="P50" s="151">
        <f t="shared" si="3"/>
        <v>6.5</v>
      </c>
      <c r="Q50" s="152">
        <f t="shared" si="4"/>
        <v>12.43</v>
      </c>
      <c r="R50" s="134"/>
      <c r="S50" s="140" t="str">
        <f t="shared" si="6"/>
        <v>유지보수 및 기타</v>
      </c>
      <c r="T50" s="415">
        <v>26</v>
      </c>
      <c r="U50" s="415">
        <v>30</v>
      </c>
    </row>
    <row r="51" spans="2:27" customFormat="1" ht="14.25" thickBot="1" x14ac:dyDescent="0.2">
      <c r="B51" s="146">
        <f t="shared" si="0"/>
        <v>0</v>
      </c>
      <c r="C51" s="430"/>
      <c r="D51" s="428"/>
      <c r="E51" s="428"/>
      <c r="F51" s="428"/>
      <c r="G51" s="429"/>
      <c r="H51" s="430"/>
      <c r="I51" s="428"/>
      <c r="J51" s="428"/>
      <c r="K51" s="428"/>
      <c r="L51" s="429"/>
      <c r="M51" s="150">
        <f t="shared" si="5"/>
        <v>0</v>
      </c>
      <c r="N51" s="151">
        <f t="shared" si="1"/>
        <v>0</v>
      </c>
      <c r="O51" s="151">
        <f t="shared" si="2"/>
        <v>0</v>
      </c>
      <c r="P51" s="151">
        <f t="shared" si="3"/>
        <v>0</v>
      </c>
      <c r="Q51" s="152">
        <f t="shared" si="4"/>
        <v>0</v>
      </c>
      <c r="R51" s="134"/>
      <c r="S51" s="140">
        <f t="shared" si="6"/>
        <v>0</v>
      </c>
      <c r="T51" s="238">
        <f t="shared" ref="T45:T51" si="7">V11/1000000</f>
        <v>0</v>
      </c>
      <c r="U51" s="239">
        <v>0</v>
      </c>
    </row>
    <row r="52" spans="2:27" customFormat="1" ht="15" thickTop="1" thickBot="1" x14ac:dyDescent="0.2">
      <c r="B52" s="153" t="s">
        <v>238</v>
      </c>
      <c r="C52" s="154">
        <f t="shared" ref="C52:Q52" si="8">SUM(C45:C51)</f>
        <v>33.984999999999999</v>
      </c>
      <c r="D52" s="155">
        <f t="shared" si="8"/>
        <v>48.849999999999994</v>
      </c>
      <c r="E52" s="155">
        <f t="shared" si="8"/>
        <v>63.79</v>
      </c>
      <c r="F52" s="155">
        <f>SUM(F45:F51)</f>
        <v>125</v>
      </c>
      <c r="G52" s="156">
        <f t="shared" si="8"/>
        <v>350</v>
      </c>
      <c r="H52" s="154">
        <f t="shared" si="8"/>
        <v>1.25</v>
      </c>
      <c r="I52" s="155">
        <f t="shared" si="8"/>
        <v>25</v>
      </c>
      <c r="J52" s="155">
        <f t="shared" si="8"/>
        <v>87.5</v>
      </c>
      <c r="K52" s="155">
        <f t="shared" si="8"/>
        <v>175</v>
      </c>
      <c r="L52" s="156">
        <f t="shared" si="8"/>
        <v>400</v>
      </c>
      <c r="M52" s="154">
        <f t="shared" si="8"/>
        <v>35.234999999999999</v>
      </c>
      <c r="N52" s="155">
        <f t="shared" si="8"/>
        <v>73.849999999999994</v>
      </c>
      <c r="O52" s="155">
        <f t="shared" si="8"/>
        <v>151.29</v>
      </c>
      <c r="P52" s="155">
        <f t="shared" si="8"/>
        <v>300</v>
      </c>
      <c r="Q52" s="156">
        <f t="shared" si="8"/>
        <v>750</v>
      </c>
      <c r="S52" s="157"/>
    </row>
    <row r="53" spans="2:27" customFormat="1" ht="6.75" customHeight="1" thickBot="1" x14ac:dyDescent="0.2">
      <c r="R53" s="134"/>
      <c r="S53" s="157"/>
      <c r="T53" s="134"/>
      <c r="U53" s="134"/>
    </row>
    <row r="54" spans="2:27" customFormat="1" ht="13.5" x14ac:dyDescent="0.15">
      <c r="B54" s="367" t="s">
        <v>84</v>
      </c>
      <c r="C54" s="369" t="s">
        <v>239</v>
      </c>
      <c r="D54" s="370"/>
      <c r="E54" s="370"/>
      <c r="F54" s="370"/>
      <c r="G54" s="371"/>
      <c r="H54" s="369" t="s">
        <v>240</v>
      </c>
      <c r="I54" s="370"/>
      <c r="J54" s="370"/>
      <c r="K54" s="370"/>
      <c r="L54" s="371"/>
      <c r="M54" s="372" t="s">
        <v>241</v>
      </c>
      <c r="N54" s="373"/>
      <c r="O54" s="373"/>
      <c r="P54" s="373"/>
      <c r="Q54" s="374"/>
      <c r="R54" s="134"/>
      <c r="S54" s="157"/>
      <c r="T54" s="134"/>
      <c r="U54" s="134"/>
    </row>
    <row r="55" spans="2:27" customFormat="1" ht="14.25" thickBot="1" x14ac:dyDescent="0.2">
      <c r="B55" s="368"/>
      <c r="C55" s="137">
        <v>2025</v>
      </c>
      <c r="D55" s="138">
        <v>2026</v>
      </c>
      <c r="E55" s="138">
        <v>2027</v>
      </c>
      <c r="F55" s="138">
        <v>2028</v>
      </c>
      <c r="G55" s="139" t="s">
        <v>252</v>
      </c>
      <c r="H55" s="137">
        <v>2025</v>
      </c>
      <c r="I55" s="138">
        <v>2026</v>
      </c>
      <c r="J55" s="138">
        <v>2027</v>
      </c>
      <c r="K55" s="138">
        <v>2028</v>
      </c>
      <c r="L55" s="139" t="s">
        <v>252</v>
      </c>
      <c r="M55" s="137">
        <v>2025</v>
      </c>
      <c r="N55" s="138">
        <v>2026</v>
      </c>
      <c r="O55" s="138">
        <v>2027</v>
      </c>
      <c r="P55" s="138">
        <v>2028</v>
      </c>
      <c r="Q55" s="139" t="s">
        <v>252</v>
      </c>
      <c r="R55" s="134"/>
      <c r="S55" s="157"/>
      <c r="T55" s="134"/>
      <c r="U55" s="134"/>
    </row>
    <row r="56" spans="2:27" customFormat="1" ht="13.5" x14ac:dyDescent="0.15">
      <c r="B56" s="141" t="str">
        <f t="shared" ref="B56:B62" si="9">B45</f>
        <v>구독서비스</v>
      </c>
      <c r="C56" s="158">
        <f t="shared" ref="C56:Q56" si="10">C45*$T$48</f>
        <v>197.60000000000002</v>
      </c>
      <c r="D56" s="159">
        <f t="shared" si="10"/>
        <v>320</v>
      </c>
      <c r="E56" s="159">
        <f t="shared" si="10"/>
        <v>440</v>
      </c>
      <c r="F56" s="159">
        <f t="shared" si="10"/>
        <v>1800</v>
      </c>
      <c r="G56" s="160">
        <f t="shared" si="10"/>
        <v>6800</v>
      </c>
      <c r="H56" s="158">
        <f t="shared" si="10"/>
        <v>50</v>
      </c>
      <c r="I56" s="159">
        <f t="shared" si="10"/>
        <v>320</v>
      </c>
      <c r="J56" s="159">
        <f t="shared" si="10"/>
        <v>1700</v>
      </c>
      <c r="K56" s="159">
        <f t="shared" si="10"/>
        <v>3400</v>
      </c>
      <c r="L56" s="160">
        <f t="shared" si="10"/>
        <v>8000</v>
      </c>
      <c r="M56" s="161">
        <f t="shared" si="10"/>
        <v>247.60000000000002</v>
      </c>
      <c r="N56" s="162">
        <f t="shared" si="10"/>
        <v>640</v>
      </c>
      <c r="O56" s="162">
        <f t="shared" si="10"/>
        <v>2140</v>
      </c>
      <c r="P56" s="162">
        <f t="shared" si="10"/>
        <v>5200</v>
      </c>
      <c r="Q56" s="163">
        <f t="shared" si="10"/>
        <v>14800</v>
      </c>
      <c r="R56" s="134"/>
      <c r="S56" s="134"/>
      <c r="T56" s="134"/>
      <c r="U56" s="134"/>
    </row>
    <row r="57" spans="2:27" s="134" customFormat="1" ht="13.5" x14ac:dyDescent="0.15">
      <c r="B57" s="146" t="str">
        <f t="shared" si="9"/>
        <v>부가서비스</v>
      </c>
      <c r="C57" s="161">
        <f>C46*$T$48</f>
        <v>2.6</v>
      </c>
      <c r="D57" s="162">
        <f t="shared" ref="C57:Q57" si="11">D46*$T$48</f>
        <v>8</v>
      </c>
      <c r="E57" s="162">
        <f t="shared" si="11"/>
        <v>14</v>
      </c>
      <c r="F57" s="162">
        <f t="shared" si="11"/>
        <v>24</v>
      </c>
      <c r="G57" s="163">
        <f t="shared" si="11"/>
        <v>70</v>
      </c>
      <c r="H57" s="161">
        <f t="shared" si="11"/>
        <v>0</v>
      </c>
      <c r="I57" s="162">
        <f t="shared" si="11"/>
        <v>680</v>
      </c>
      <c r="J57" s="162">
        <f t="shared" si="11"/>
        <v>1800</v>
      </c>
      <c r="K57" s="162">
        <f t="shared" si="11"/>
        <v>3600</v>
      </c>
      <c r="L57" s="163">
        <f t="shared" si="11"/>
        <v>8000</v>
      </c>
      <c r="M57" s="164">
        <f t="shared" si="11"/>
        <v>2.6</v>
      </c>
      <c r="N57" s="165">
        <f t="shared" si="11"/>
        <v>688</v>
      </c>
      <c r="O57" s="165">
        <f t="shared" si="11"/>
        <v>1814</v>
      </c>
      <c r="P57" s="165">
        <f t="shared" si="11"/>
        <v>3624</v>
      </c>
      <c r="Q57" s="166">
        <f t="shared" si="11"/>
        <v>8070</v>
      </c>
      <c r="V57"/>
      <c r="W57"/>
      <c r="X57"/>
      <c r="Y57"/>
      <c r="Z57"/>
      <c r="AA57"/>
    </row>
    <row r="58" spans="2:27" s="134" customFormat="1" ht="13.5" x14ac:dyDescent="0.15">
      <c r="B58" s="146" t="str">
        <f t="shared" si="9"/>
        <v>커머스거래수수료</v>
      </c>
      <c r="C58" s="161">
        <f t="shared" ref="C58:Q58" si="12">C47*$T$48</f>
        <v>0</v>
      </c>
      <c r="D58" s="162">
        <f t="shared" si="12"/>
        <v>10.4</v>
      </c>
      <c r="E58" s="162">
        <f t="shared" si="12"/>
        <v>12</v>
      </c>
      <c r="F58" s="162">
        <f t="shared" si="12"/>
        <v>24</v>
      </c>
      <c r="G58" s="163">
        <f t="shared" si="12"/>
        <v>90.399999999999991</v>
      </c>
      <c r="H58" s="161">
        <f t="shared" si="12"/>
        <v>0</v>
      </c>
      <c r="I58" s="162">
        <f t="shared" si="12"/>
        <v>0</v>
      </c>
      <c r="J58" s="162">
        <f t="shared" si="12"/>
        <v>0</v>
      </c>
      <c r="K58" s="162">
        <f t="shared" si="12"/>
        <v>0</v>
      </c>
      <c r="L58" s="163">
        <f t="shared" si="12"/>
        <v>0</v>
      </c>
      <c r="M58" s="167">
        <f t="shared" si="12"/>
        <v>0</v>
      </c>
      <c r="N58" s="168">
        <f t="shared" si="12"/>
        <v>10.4</v>
      </c>
      <c r="O58" s="168">
        <f t="shared" si="12"/>
        <v>12</v>
      </c>
      <c r="P58" s="168">
        <f t="shared" si="12"/>
        <v>24</v>
      </c>
      <c r="Q58" s="169">
        <f t="shared" si="12"/>
        <v>90.399999999999991</v>
      </c>
      <c r="V58"/>
      <c r="W58"/>
      <c r="X58"/>
      <c r="Y58"/>
      <c r="Z58"/>
      <c r="AA58"/>
    </row>
    <row r="59" spans="2:27" s="134" customFormat="1" ht="13.5" x14ac:dyDescent="0.15">
      <c r="B59" s="146" t="str">
        <f t="shared" si="9"/>
        <v>솔루션판매</v>
      </c>
      <c r="C59" s="161">
        <f t="shared" ref="C59:Q59" si="13">C48*$T$48</f>
        <v>200</v>
      </c>
      <c r="D59" s="162">
        <f t="shared" si="13"/>
        <v>265.59999999999997</v>
      </c>
      <c r="E59" s="162">
        <f t="shared" si="13"/>
        <v>400</v>
      </c>
      <c r="F59" s="162">
        <f t="shared" si="13"/>
        <v>556</v>
      </c>
      <c r="G59" s="163">
        <f t="shared" si="13"/>
        <v>858.40000000000009</v>
      </c>
      <c r="H59" s="161">
        <f t="shared" si="13"/>
        <v>0</v>
      </c>
      <c r="I59" s="162">
        <f t="shared" si="13"/>
        <v>0</v>
      </c>
      <c r="J59" s="162">
        <f t="shared" si="13"/>
        <v>0</v>
      </c>
      <c r="K59" s="162">
        <f t="shared" si="13"/>
        <v>0</v>
      </c>
      <c r="L59" s="163">
        <f t="shared" si="13"/>
        <v>0</v>
      </c>
      <c r="M59" s="167">
        <f t="shared" si="13"/>
        <v>200</v>
      </c>
      <c r="N59" s="168">
        <f t="shared" si="13"/>
        <v>265.59999999999997</v>
      </c>
      <c r="O59" s="168">
        <f t="shared" si="13"/>
        <v>400</v>
      </c>
      <c r="P59" s="168">
        <f t="shared" si="13"/>
        <v>556</v>
      </c>
      <c r="Q59" s="169">
        <f t="shared" si="13"/>
        <v>858.40000000000009</v>
      </c>
      <c r="S59" s="157"/>
      <c r="V59"/>
      <c r="W59"/>
      <c r="X59"/>
      <c r="Y59"/>
      <c r="Z59"/>
      <c r="AA59"/>
    </row>
    <row r="60" spans="2:27" s="134" customFormat="1" ht="13.5" x14ac:dyDescent="0.15">
      <c r="B60" s="146" t="str">
        <f t="shared" si="9"/>
        <v>제작대행</v>
      </c>
      <c r="C60" s="161">
        <f t="shared" ref="C60:Q60" si="14">C49*$T$48</f>
        <v>848</v>
      </c>
      <c r="D60" s="162">
        <f t="shared" si="14"/>
        <v>1210</v>
      </c>
      <c r="E60" s="162">
        <f t="shared" si="14"/>
        <v>1505.6</v>
      </c>
      <c r="F60" s="162">
        <f t="shared" si="14"/>
        <v>2336</v>
      </c>
      <c r="G60" s="163">
        <f t="shared" si="14"/>
        <v>5684</v>
      </c>
      <c r="H60" s="161">
        <f t="shared" si="14"/>
        <v>0</v>
      </c>
      <c r="I60" s="162">
        <f t="shared" si="14"/>
        <v>0</v>
      </c>
      <c r="J60" s="162">
        <f t="shared" si="14"/>
        <v>0</v>
      </c>
      <c r="K60" s="162">
        <f t="shared" si="14"/>
        <v>0</v>
      </c>
      <c r="L60" s="163">
        <f t="shared" si="14"/>
        <v>0</v>
      </c>
      <c r="M60" s="167">
        <f t="shared" si="14"/>
        <v>848</v>
      </c>
      <c r="N60" s="168">
        <f t="shared" si="14"/>
        <v>1210</v>
      </c>
      <c r="O60" s="168">
        <f t="shared" si="14"/>
        <v>1505.6</v>
      </c>
      <c r="P60" s="168">
        <f t="shared" si="14"/>
        <v>2336</v>
      </c>
      <c r="Q60" s="169">
        <f t="shared" si="14"/>
        <v>5684</v>
      </c>
      <c r="V60"/>
      <c r="W60"/>
      <c r="X60"/>
      <c r="Y60"/>
      <c r="Z60"/>
      <c r="AA60"/>
    </row>
    <row r="61" spans="2:27" s="134" customFormat="1" ht="13.5" x14ac:dyDescent="0.15">
      <c r="B61" s="146" t="str">
        <f t="shared" si="9"/>
        <v>유지보수 및 기타</v>
      </c>
      <c r="C61" s="161">
        <f t="shared" ref="C61:Q61" si="15">C50*$T$48</f>
        <v>111.19999999999999</v>
      </c>
      <c r="D61" s="162">
        <f t="shared" si="15"/>
        <v>140</v>
      </c>
      <c r="E61" s="162">
        <f t="shared" si="15"/>
        <v>180</v>
      </c>
      <c r="F61" s="162">
        <f t="shared" si="15"/>
        <v>260</v>
      </c>
      <c r="G61" s="163">
        <f t="shared" si="15"/>
        <v>497.2</v>
      </c>
      <c r="H61" s="161">
        <f t="shared" si="15"/>
        <v>0</v>
      </c>
      <c r="I61" s="162">
        <f t="shared" si="15"/>
        <v>0</v>
      </c>
      <c r="J61" s="162">
        <f t="shared" si="15"/>
        <v>0</v>
      </c>
      <c r="K61" s="162">
        <f t="shared" si="15"/>
        <v>0</v>
      </c>
      <c r="L61" s="163">
        <f t="shared" si="15"/>
        <v>0</v>
      </c>
      <c r="M61" s="167">
        <f t="shared" si="15"/>
        <v>111.19999999999999</v>
      </c>
      <c r="N61" s="168">
        <f t="shared" si="15"/>
        <v>140</v>
      </c>
      <c r="O61" s="168">
        <f t="shared" si="15"/>
        <v>180</v>
      </c>
      <c r="P61" s="168">
        <f t="shared" si="15"/>
        <v>260</v>
      </c>
      <c r="Q61" s="169">
        <f t="shared" si="15"/>
        <v>497.2</v>
      </c>
      <c r="V61"/>
      <c r="W61"/>
      <c r="X61"/>
      <c r="Y61"/>
      <c r="Z61"/>
      <c r="AA61"/>
    </row>
    <row r="62" spans="2:27" s="134" customFormat="1" ht="14.25" thickBot="1" x14ac:dyDescent="0.2">
      <c r="B62" s="146">
        <f t="shared" si="9"/>
        <v>0</v>
      </c>
      <c r="C62" s="161">
        <f t="shared" ref="C62:Q62" si="16">C51*$T$48</f>
        <v>0</v>
      </c>
      <c r="D62" s="162">
        <f t="shared" si="16"/>
        <v>0</v>
      </c>
      <c r="E62" s="162">
        <f t="shared" si="16"/>
        <v>0</v>
      </c>
      <c r="F62" s="162">
        <f t="shared" si="16"/>
        <v>0</v>
      </c>
      <c r="G62" s="163">
        <f t="shared" si="16"/>
        <v>0</v>
      </c>
      <c r="H62" s="161">
        <f t="shared" si="16"/>
        <v>0</v>
      </c>
      <c r="I62" s="162">
        <f t="shared" si="16"/>
        <v>0</v>
      </c>
      <c r="J62" s="162">
        <f t="shared" si="16"/>
        <v>0</v>
      </c>
      <c r="K62" s="162">
        <f t="shared" si="16"/>
        <v>0</v>
      </c>
      <c r="L62" s="163">
        <f t="shared" si="16"/>
        <v>0</v>
      </c>
      <c r="M62" s="167">
        <f t="shared" si="16"/>
        <v>0</v>
      </c>
      <c r="N62" s="168">
        <f t="shared" si="16"/>
        <v>0</v>
      </c>
      <c r="O62" s="168">
        <f t="shared" si="16"/>
        <v>0</v>
      </c>
      <c r="P62" s="168">
        <f t="shared" si="16"/>
        <v>0</v>
      </c>
      <c r="Q62" s="169">
        <f t="shared" si="16"/>
        <v>0</v>
      </c>
      <c r="S62" s="157"/>
      <c r="V62"/>
      <c r="W62"/>
      <c r="X62"/>
      <c r="Y62"/>
      <c r="Z62"/>
      <c r="AA62"/>
    </row>
    <row r="63" spans="2:27" s="134" customFormat="1" ht="15" thickTop="1" thickBot="1" x14ac:dyDescent="0.2">
      <c r="B63" s="153" t="s">
        <v>238</v>
      </c>
      <c r="C63" s="170">
        <f t="shared" ref="C63:Q63" si="17">SUM(C56:C62)</f>
        <v>1359.4</v>
      </c>
      <c r="D63" s="171">
        <f t="shared" si="17"/>
        <v>1954</v>
      </c>
      <c r="E63" s="171">
        <f t="shared" si="17"/>
        <v>2551.6</v>
      </c>
      <c r="F63" s="171">
        <f t="shared" si="17"/>
        <v>5000</v>
      </c>
      <c r="G63" s="172">
        <f t="shared" si="17"/>
        <v>14000</v>
      </c>
      <c r="H63" s="170">
        <f t="shared" si="17"/>
        <v>50</v>
      </c>
      <c r="I63" s="171">
        <f t="shared" si="17"/>
        <v>1000</v>
      </c>
      <c r="J63" s="171">
        <f t="shared" si="17"/>
        <v>3500</v>
      </c>
      <c r="K63" s="171">
        <f t="shared" si="17"/>
        <v>7000</v>
      </c>
      <c r="L63" s="172">
        <f t="shared" si="17"/>
        <v>16000</v>
      </c>
      <c r="M63" s="170">
        <f t="shared" si="17"/>
        <v>1409.4</v>
      </c>
      <c r="N63" s="171">
        <f t="shared" si="17"/>
        <v>2954</v>
      </c>
      <c r="O63" s="171">
        <f t="shared" si="17"/>
        <v>6051.6</v>
      </c>
      <c r="P63" s="171">
        <f t="shared" si="17"/>
        <v>12000</v>
      </c>
      <c r="Q63" s="172">
        <f t="shared" si="17"/>
        <v>30000.000000000004</v>
      </c>
      <c r="V63"/>
      <c r="W63"/>
      <c r="X63"/>
      <c r="Y63"/>
      <c r="Z63"/>
      <c r="AA63"/>
    </row>
    <row r="64" spans="2:27" s="134" customFormat="1" ht="13.5" x14ac:dyDescent="0.15">
      <c r="B64" s="136"/>
      <c r="V64"/>
      <c r="W64"/>
      <c r="X64"/>
      <c r="Y64"/>
      <c r="Z64"/>
      <c r="AA64"/>
    </row>
    <row r="65" spans="2:10" ht="150" customHeight="1" x14ac:dyDescent="0.15">
      <c r="B65" s="375" t="s">
        <v>466</v>
      </c>
      <c r="C65" s="375"/>
      <c r="D65" s="375"/>
      <c r="E65" s="375"/>
      <c r="F65" s="375"/>
      <c r="G65" s="375"/>
      <c r="H65" s="375"/>
      <c r="I65" s="375"/>
      <c r="J65" s="375"/>
    </row>
    <row r="66" spans="2:10" ht="150" customHeight="1" x14ac:dyDescent="0.15">
      <c r="B66" s="375"/>
      <c r="C66" s="375"/>
      <c r="D66" s="375"/>
      <c r="E66" s="375"/>
      <c r="F66" s="375"/>
      <c r="G66" s="375"/>
      <c r="H66" s="375"/>
      <c r="I66" s="375"/>
      <c r="J66" s="375"/>
    </row>
  </sheetData>
  <mergeCells count="23">
    <mergeCell ref="B37:J38"/>
    <mergeCell ref="B19:J20"/>
    <mergeCell ref="B65:J66"/>
    <mergeCell ref="U5:U7"/>
    <mergeCell ref="I6:J6"/>
    <mergeCell ref="K6:L6"/>
    <mergeCell ref="I5:L5"/>
    <mergeCell ref="M5:N6"/>
    <mergeCell ref="S5:T6"/>
    <mergeCell ref="Q5:R6"/>
    <mergeCell ref="B5:B7"/>
    <mergeCell ref="E5:F6"/>
    <mergeCell ref="G5:H6"/>
    <mergeCell ref="O5:P6"/>
    <mergeCell ref="C5:D6"/>
    <mergeCell ref="B43:B44"/>
    <mergeCell ref="B54:B55"/>
    <mergeCell ref="C43:G43"/>
    <mergeCell ref="H43:L43"/>
    <mergeCell ref="M43:Q43"/>
    <mergeCell ref="C54:G54"/>
    <mergeCell ref="H54:L54"/>
    <mergeCell ref="M54:Q54"/>
  </mergeCells>
  <phoneticPr fontId="2" type="noConversion"/>
  <pageMargins left="0.7" right="0.7" top="0.75" bottom="0.75" header="0.3" footer="0.3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3"/>
  <sheetViews>
    <sheetView zoomScaleSheetLayoutView="85" workbookViewId="0">
      <selection activeCell="D11" sqref="D11"/>
    </sheetView>
  </sheetViews>
  <sheetFormatPr defaultColWidth="8.88671875" defaultRowHeight="17.25" x14ac:dyDescent="0.15"/>
  <cols>
    <col min="1" max="1" width="14.6640625" style="41" customWidth="1"/>
    <col min="2" max="2" width="12.77734375" style="41" bestFit="1" customWidth="1"/>
    <col min="3" max="3" width="5.33203125" style="41" bestFit="1" customWidth="1"/>
    <col min="4" max="4" width="12.77734375" style="41" bestFit="1" customWidth="1"/>
    <col min="5" max="5" width="5.33203125" style="41" bestFit="1" customWidth="1"/>
    <col min="6" max="6" width="12.77734375" style="41" bestFit="1" customWidth="1"/>
    <col min="7" max="7" width="9.44140625" style="41" customWidth="1"/>
    <col min="8" max="8" width="12.77734375" style="41" bestFit="1" customWidth="1"/>
    <col min="9" max="9" width="9.44140625" style="41" customWidth="1"/>
    <col min="10" max="10" width="12.77734375" style="41" bestFit="1" customWidth="1"/>
    <col min="11" max="11" width="9.44140625" style="41" customWidth="1"/>
    <col min="12" max="12" width="12.77734375" style="41" bestFit="1" customWidth="1"/>
    <col min="13" max="13" width="9.44140625" style="41" customWidth="1"/>
    <col min="14" max="14" width="12.77734375" style="41" bestFit="1" customWidth="1"/>
    <col min="15" max="15" width="9.44140625" style="41" customWidth="1"/>
    <col min="16" max="16" width="12.77734375" style="41" bestFit="1" customWidth="1"/>
    <col min="17" max="17" width="9.44140625" style="41" customWidth="1"/>
    <col min="18" max="18" width="9.44140625" style="40" customWidth="1"/>
    <col min="19" max="16384" width="8.88671875" style="41"/>
  </cols>
  <sheetData>
    <row r="1" spans="1:17" ht="20.25" x14ac:dyDescent="0.15">
      <c r="A1" s="14" t="s">
        <v>174</v>
      </c>
      <c r="B1" s="38"/>
      <c r="C1" s="38"/>
      <c r="D1" s="38"/>
      <c r="E1" s="38"/>
      <c r="F1" s="38"/>
      <c r="G1" s="38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5" customHeight="1" thickBot="1" x14ac:dyDescent="0.2">
      <c r="A2" s="42"/>
      <c r="B2" s="42"/>
      <c r="C2" s="42"/>
      <c r="D2" s="42"/>
      <c r="E2" s="42"/>
      <c r="F2" s="43"/>
      <c r="G2" s="42"/>
      <c r="H2" s="42"/>
      <c r="I2" s="42"/>
      <c r="J2" s="42"/>
      <c r="K2" s="44"/>
      <c r="L2" s="42"/>
      <c r="M2" s="44"/>
      <c r="N2" s="42"/>
      <c r="O2" s="44"/>
      <c r="P2" s="42"/>
      <c r="Q2" s="43" t="s">
        <v>3</v>
      </c>
    </row>
    <row r="3" spans="1:17" ht="20.25" customHeight="1" x14ac:dyDescent="0.15">
      <c r="A3" s="82" t="s">
        <v>19</v>
      </c>
      <c r="B3" s="83" t="s">
        <v>217</v>
      </c>
      <c r="C3" s="83" t="s">
        <v>183</v>
      </c>
      <c r="D3" s="83" t="s">
        <v>224</v>
      </c>
      <c r="E3" s="83" t="s">
        <v>183</v>
      </c>
      <c r="F3" s="83" t="s">
        <v>254</v>
      </c>
      <c r="G3" s="83" t="s">
        <v>20</v>
      </c>
      <c r="H3" s="84" t="s">
        <v>187</v>
      </c>
      <c r="I3" s="84" t="s">
        <v>183</v>
      </c>
      <c r="J3" s="84" t="s">
        <v>211</v>
      </c>
      <c r="K3" s="84" t="s">
        <v>183</v>
      </c>
      <c r="L3" s="84" t="s">
        <v>218</v>
      </c>
      <c r="M3" s="84" t="s">
        <v>183</v>
      </c>
      <c r="N3" s="84" t="s">
        <v>226</v>
      </c>
      <c r="O3" s="84" t="s">
        <v>183</v>
      </c>
      <c r="P3" s="84" t="s">
        <v>253</v>
      </c>
      <c r="Q3" s="85" t="s">
        <v>20</v>
      </c>
    </row>
    <row r="4" spans="1:17" ht="15" customHeight="1" x14ac:dyDescent="0.15">
      <c r="A4" s="86" t="s">
        <v>21</v>
      </c>
      <c r="B4" s="45"/>
      <c r="C4" s="46"/>
      <c r="D4" s="45"/>
      <c r="E4" s="46"/>
      <c r="F4" s="45"/>
      <c r="G4" s="46"/>
      <c r="H4" s="45"/>
      <c r="I4" s="46"/>
      <c r="J4" s="45"/>
      <c r="K4" s="46"/>
      <c r="L4" s="45"/>
      <c r="M4" s="46"/>
      <c r="N4" s="45"/>
      <c r="O4" s="46"/>
      <c r="P4" s="45"/>
      <c r="Q4" s="87"/>
    </row>
    <row r="5" spans="1:17" ht="15" customHeight="1" x14ac:dyDescent="0.15">
      <c r="A5" s="88" t="s">
        <v>22</v>
      </c>
      <c r="B5" s="47"/>
      <c r="C5" s="48"/>
      <c r="D5" s="47"/>
      <c r="E5" s="48"/>
      <c r="F5" s="47"/>
      <c r="G5" s="48"/>
      <c r="H5" s="47"/>
      <c r="I5" s="48"/>
      <c r="J5" s="47"/>
      <c r="K5" s="48"/>
      <c r="L5" s="47"/>
      <c r="M5" s="48"/>
      <c r="N5" s="47"/>
      <c r="O5" s="48"/>
      <c r="P5" s="47"/>
      <c r="Q5" s="89"/>
    </row>
    <row r="6" spans="1:17" ht="15" customHeight="1" x14ac:dyDescent="0.15">
      <c r="A6" s="88" t="s">
        <v>23</v>
      </c>
      <c r="B6" s="47">
        <f>SUM(B7:B25)</f>
        <v>0</v>
      </c>
      <c r="C6" s="48"/>
      <c r="D6" s="47">
        <f>SUM(D7:D25)</f>
        <v>0</v>
      </c>
      <c r="E6" s="48"/>
      <c r="F6" s="47">
        <f>SUM(F7:F25)</f>
        <v>0</v>
      </c>
      <c r="G6" s="48"/>
      <c r="H6" s="47">
        <f>SUM(H7:H25)</f>
        <v>0</v>
      </c>
      <c r="I6" s="48"/>
      <c r="J6" s="47">
        <f>SUM(J7:J25)</f>
        <v>0</v>
      </c>
      <c r="K6" s="48"/>
      <c r="L6" s="47">
        <f>SUM(L7:L25)</f>
        <v>0</v>
      </c>
      <c r="M6" s="48"/>
      <c r="N6" s="47">
        <f>SUM(N7:N25)</f>
        <v>0</v>
      </c>
      <c r="O6" s="48"/>
      <c r="P6" s="47">
        <f>SUM(P7:P25)</f>
        <v>0</v>
      </c>
      <c r="Q6" s="89"/>
    </row>
    <row r="7" spans="1:17" ht="15" customHeight="1" x14ac:dyDescent="0.15">
      <c r="A7" s="90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91"/>
    </row>
    <row r="8" spans="1:17" ht="15" customHeight="1" x14ac:dyDescent="0.15">
      <c r="A8" s="90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91"/>
    </row>
    <row r="9" spans="1:17" ht="15" customHeight="1" x14ac:dyDescent="0.15">
      <c r="A9" s="90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91"/>
    </row>
    <row r="10" spans="1:17" ht="15" customHeight="1" x14ac:dyDescent="0.15">
      <c r="A10" s="90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91"/>
    </row>
    <row r="11" spans="1:17" ht="15" customHeight="1" x14ac:dyDescent="0.15">
      <c r="A11" s="90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91"/>
    </row>
    <row r="12" spans="1:17" ht="15" customHeight="1" x14ac:dyDescent="0.15">
      <c r="A12" s="90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91"/>
    </row>
    <row r="13" spans="1:17" ht="15" customHeight="1" x14ac:dyDescent="0.15">
      <c r="A13" s="90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91"/>
    </row>
    <row r="14" spans="1:17" ht="15" customHeight="1" x14ac:dyDescent="0.15">
      <c r="A14" s="90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91"/>
    </row>
    <row r="15" spans="1:17" ht="15" customHeight="1" x14ac:dyDescent="0.15">
      <c r="A15" s="90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91"/>
    </row>
    <row r="16" spans="1:17" ht="15" customHeight="1" x14ac:dyDescent="0.15">
      <c r="A16" s="90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91"/>
    </row>
    <row r="17" spans="1:17" ht="15" customHeight="1" x14ac:dyDescent="0.15">
      <c r="A17" s="90"/>
      <c r="B17" s="49"/>
      <c r="C17" s="49"/>
      <c r="D17" s="49"/>
      <c r="E17" s="50"/>
      <c r="F17" s="49"/>
      <c r="G17" s="50"/>
      <c r="H17" s="49"/>
      <c r="I17" s="50"/>
      <c r="J17" s="49"/>
      <c r="K17" s="50"/>
      <c r="L17" s="49"/>
      <c r="M17" s="50"/>
      <c r="N17" s="49"/>
      <c r="O17" s="50"/>
      <c r="P17" s="49"/>
      <c r="Q17" s="92"/>
    </row>
    <row r="18" spans="1:17" ht="15" customHeight="1" x14ac:dyDescent="0.15">
      <c r="A18" s="90"/>
      <c r="B18" s="49"/>
      <c r="C18" s="49"/>
      <c r="D18" s="49"/>
      <c r="E18" s="50"/>
      <c r="F18" s="49"/>
      <c r="G18" s="50"/>
      <c r="H18" s="49"/>
      <c r="I18" s="50"/>
      <c r="J18" s="49"/>
      <c r="K18" s="50"/>
      <c r="L18" s="49"/>
      <c r="M18" s="50"/>
      <c r="N18" s="49"/>
      <c r="O18" s="50"/>
      <c r="P18" s="49"/>
      <c r="Q18" s="92"/>
    </row>
    <row r="19" spans="1:17" ht="15" customHeight="1" x14ac:dyDescent="0.15">
      <c r="A19" s="90"/>
      <c r="B19" s="49"/>
      <c r="C19" s="49"/>
      <c r="D19" s="49"/>
      <c r="E19" s="50"/>
      <c r="F19" s="49"/>
      <c r="G19" s="50"/>
      <c r="H19" s="49"/>
      <c r="I19" s="50"/>
      <c r="J19" s="49"/>
      <c r="K19" s="50"/>
      <c r="L19" s="49"/>
      <c r="M19" s="50"/>
      <c r="N19" s="49"/>
      <c r="O19" s="50"/>
      <c r="P19" s="49"/>
      <c r="Q19" s="92"/>
    </row>
    <row r="20" spans="1:17" ht="15" customHeight="1" x14ac:dyDescent="0.15">
      <c r="A20" s="90"/>
      <c r="B20" s="49"/>
      <c r="C20" s="49"/>
      <c r="D20" s="49"/>
      <c r="E20" s="50"/>
      <c r="F20" s="49"/>
      <c r="G20" s="50"/>
      <c r="H20" s="49"/>
      <c r="I20" s="50"/>
      <c r="J20" s="49"/>
      <c r="K20" s="50"/>
      <c r="L20" s="49"/>
      <c r="M20" s="50"/>
      <c r="N20" s="49"/>
      <c r="O20" s="50"/>
      <c r="P20" s="49"/>
      <c r="Q20" s="92"/>
    </row>
    <row r="21" spans="1:17" ht="15" customHeight="1" x14ac:dyDescent="0.15">
      <c r="A21" s="90"/>
      <c r="B21" s="49"/>
      <c r="C21" s="49"/>
      <c r="D21" s="49"/>
      <c r="E21" s="50"/>
      <c r="F21" s="49"/>
      <c r="G21" s="50"/>
      <c r="H21" s="49"/>
      <c r="I21" s="50"/>
      <c r="J21" s="49"/>
      <c r="K21" s="50"/>
      <c r="L21" s="49"/>
      <c r="M21" s="50"/>
      <c r="N21" s="49"/>
      <c r="O21" s="50"/>
      <c r="P21" s="49"/>
      <c r="Q21" s="92"/>
    </row>
    <row r="22" spans="1:17" ht="15" customHeight="1" x14ac:dyDescent="0.15">
      <c r="A22" s="90"/>
      <c r="B22" s="49"/>
      <c r="C22" s="49"/>
      <c r="D22" s="49"/>
      <c r="E22" s="50"/>
      <c r="F22" s="49"/>
      <c r="G22" s="50"/>
      <c r="H22" s="49"/>
      <c r="I22" s="50"/>
      <c r="J22" s="49"/>
      <c r="K22" s="50"/>
      <c r="L22" s="49"/>
      <c r="M22" s="50"/>
      <c r="N22" s="49"/>
      <c r="O22" s="50"/>
      <c r="P22" s="49"/>
      <c r="Q22" s="92"/>
    </row>
    <row r="23" spans="1:17" ht="15" customHeight="1" x14ac:dyDescent="0.15">
      <c r="A23" s="90"/>
      <c r="B23" s="49"/>
      <c r="C23" s="49"/>
      <c r="D23" s="49"/>
      <c r="E23" s="51"/>
      <c r="F23" s="49"/>
      <c r="G23" s="51"/>
      <c r="H23" s="49"/>
      <c r="I23" s="51"/>
      <c r="J23" s="49"/>
      <c r="K23" s="51"/>
      <c r="L23" s="49"/>
      <c r="M23" s="51"/>
      <c r="N23" s="49"/>
      <c r="O23" s="51"/>
      <c r="P23" s="49"/>
      <c r="Q23" s="93"/>
    </row>
    <row r="24" spans="1:17" ht="15" customHeight="1" x14ac:dyDescent="0.15">
      <c r="A24" s="90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91"/>
    </row>
    <row r="25" spans="1:17" ht="15" customHeight="1" x14ac:dyDescent="0.15">
      <c r="A25" s="94"/>
      <c r="B25" s="52"/>
      <c r="C25" s="52"/>
      <c r="D25" s="52"/>
      <c r="E25" s="52"/>
      <c r="F25" s="49"/>
      <c r="G25" s="49"/>
      <c r="H25" s="52"/>
      <c r="I25" s="52"/>
      <c r="J25" s="52"/>
      <c r="K25" s="52"/>
      <c r="L25" s="52"/>
      <c r="M25" s="52"/>
      <c r="N25" s="52"/>
      <c r="O25" s="52"/>
      <c r="P25" s="52"/>
      <c r="Q25" s="95"/>
    </row>
    <row r="26" spans="1:17" ht="17.25" customHeight="1" x14ac:dyDescent="0.15">
      <c r="A26" s="96" t="s">
        <v>24</v>
      </c>
      <c r="B26" s="53">
        <f>B4+B5+B6</f>
        <v>0</v>
      </c>
      <c r="C26" s="54"/>
      <c r="D26" s="55">
        <f>D4+D5+D6</f>
        <v>0</v>
      </c>
      <c r="E26" s="54"/>
      <c r="F26" s="55">
        <f>F4+F5+F6</f>
        <v>0</v>
      </c>
      <c r="G26" s="56"/>
      <c r="H26" s="55">
        <f>H4+H5+H6</f>
        <v>0</v>
      </c>
      <c r="I26" s="54"/>
      <c r="J26" s="55">
        <f>J4+J5+J6</f>
        <v>0</v>
      </c>
      <c r="K26" s="54"/>
      <c r="L26" s="55">
        <f>L4+L5+L6</f>
        <v>0</v>
      </c>
      <c r="M26" s="54"/>
      <c r="N26" s="55">
        <f>N4+N5+N6</f>
        <v>0</v>
      </c>
      <c r="O26" s="54"/>
      <c r="P26" s="55">
        <f>P4+P5+P6</f>
        <v>0</v>
      </c>
      <c r="Q26" s="97"/>
    </row>
    <row r="27" spans="1:17" ht="17.25" customHeight="1" x14ac:dyDescent="0.15">
      <c r="A27" s="98" t="s">
        <v>25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99"/>
    </row>
    <row r="28" spans="1:17" ht="17.25" customHeight="1" x14ac:dyDescent="0.15">
      <c r="A28" s="100" t="s">
        <v>0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95"/>
    </row>
    <row r="29" spans="1:17" ht="17.25" customHeight="1" x14ac:dyDescent="0.15">
      <c r="A29" s="98" t="s">
        <v>26</v>
      </c>
      <c r="B29" s="57"/>
      <c r="C29" s="57"/>
      <c r="D29" s="57"/>
      <c r="E29" s="57"/>
      <c r="F29" s="57"/>
      <c r="G29" s="58"/>
      <c r="H29" s="57"/>
      <c r="I29" s="57"/>
      <c r="J29" s="57"/>
      <c r="K29" s="57"/>
      <c r="L29" s="57"/>
      <c r="M29" s="57"/>
      <c r="N29" s="57"/>
      <c r="O29" s="57"/>
      <c r="P29" s="57"/>
      <c r="Q29" s="99"/>
    </row>
    <row r="30" spans="1:17" ht="17.25" customHeight="1" thickBot="1" x14ac:dyDescent="0.2">
      <c r="A30" s="101" t="s">
        <v>27</v>
      </c>
      <c r="B30" s="102">
        <f>B26+B27-B29</f>
        <v>0</v>
      </c>
      <c r="C30" s="102"/>
      <c r="D30" s="102">
        <f>D26+D27-D29</f>
        <v>0</v>
      </c>
      <c r="E30" s="102"/>
      <c r="F30" s="102">
        <f>F26+F27-F29</f>
        <v>0</v>
      </c>
      <c r="G30" s="102"/>
      <c r="H30" s="102">
        <f>H26+H27-H29</f>
        <v>0</v>
      </c>
      <c r="I30" s="102"/>
      <c r="J30" s="102">
        <f>J26+J27-J29</f>
        <v>0</v>
      </c>
      <c r="K30" s="102"/>
      <c r="L30" s="102">
        <f>L26+L27-L29</f>
        <v>0</v>
      </c>
      <c r="M30" s="102"/>
      <c r="N30" s="102">
        <f>N26+N27-N29</f>
        <v>0</v>
      </c>
      <c r="O30" s="102"/>
      <c r="P30" s="102">
        <f>P26+P27-P29</f>
        <v>0</v>
      </c>
      <c r="Q30" s="103"/>
    </row>
    <row r="31" spans="1:17" ht="17.25" customHeight="1" x14ac:dyDescent="0.15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</row>
    <row r="32" spans="1:17" ht="15" customHeight="1" x14ac:dyDescent="0.15">
      <c r="A32" s="6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spans="1:16" x14ac:dyDescent="0.15">
      <c r="A33" s="62" t="s">
        <v>44</v>
      </c>
    </row>
    <row r="34" spans="1:16" x14ac:dyDescent="0.15">
      <c r="A34" s="62"/>
    </row>
    <row r="35" spans="1:16" x14ac:dyDescent="0.15">
      <c r="A35" s="62" t="s">
        <v>28</v>
      </c>
    </row>
    <row r="36" spans="1:16" x14ac:dyDescent="0.15">
      <c r="A36" s="62"/>
    </row>
    <row r="37" spans="1:16" x14ac:dyDescent="0.15">
      <c r="A37" s="62" t="s">
        <v>29</v>
      </c>
    </row>
    <row r="38" spans="1:16" x14ac:dyDescent="0.15">
      <c r="A38" s="62"/>
    </row>
    <row r="39" spans="1:16" x14ac:dyDescent="0.15">
      <c r="A39" s="62" t="s">
        <v>30</v>
      </c>
    </row>
    <row r="40" spans="1:16" x14ac:dyDescent="0.15">
      <c r="A40" s="62"/>
    </row>
    <row r="41" spans="1:16" x14ac:dyDescent="0.15">
      <c r="A41" s="62" t="s">
        <v>31</v>
      </c>
    </row>
    <row r="42" spans="1:16" x14ac:dyDescent="0.15">
      <c r="A42" s="62"/>
    </row>
    <row r="43" spans="1:16" x14ac:dyDescent="0.15">
      <c r="A43" s="62" t="s">
        <v>32</v>
      </c>
    </row>
    <row r="44" spans="1:16" ht="15" customHeight="1" x14ac:dyDescent="0.15">
      <c r="B44" s="63"/>
      <c r="C44" s="63"/>
      <c r="D44" s="63"/>
      <c r="H44" s="63"/>
      <c r="J44" s="63"/>
      <c r="L44" s="63"/>
      <c r="N44" s="63"/>
      <c r="P44" s="63"/>
    </row>
    <row r="45" spans="1:16" ht="15" customHeight="1" x14ac:dyDescent="0.15"/>
    <row r="46" spans="1:16" ht="15" customHeight="1" x14ac:dyDescent="0.15"/>
    <row r="47" spans="1:16" ht="15" customHeight="1" x14ac:dyDescent="0.15"/>
    <row r="48" spans="1:16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phoneticPr fontId="2" type="noConversion"/>
  <pageMargins left="0.7" right="0.7" top="0.75" bottom="0.75" header="0.3" footer="0.3"/>
  <pageSetup paperSize="9" scale="5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4"/>
  <sheetViews>
    <sheetView zoomScale="115" zoomScaleNormal="115" zoomScaleSheetLayoutView="85" workbookViewId="0">
      <selection activeCell="A32" sqref="A32:I34"/>
    </sheetView>
  </sheetViews>
  <sheetFormatPr defaultColWidth="8.88671875" defaultRowHeight="17.25" x14ac:dyDescent="0.15"/>
  <cols>
    <col min="1" max="1" width="29.33203125" style="37" bestFit="1" customWidth="1"/>
    <col min="2" max="9" width="14.109375" style="37" customWidth="1"/>
    <col min="10" max="16384" width="8.88671875" style="37"/>
  </cols>
  <sheetData>
    <row r="1" spans="1:9" ht="20.25" x14ac:dyDescent="0.15">
      <c r="A1" s="6" t="s">
        <v>175</v>
      </c>
    </row>
    <row r="3" spans="1:9" x14ac:dyDescent="0.15">
      <c r="A3" s="36" t="s">
        <v>176</v>
      </c>
      <c r="B3" s="36"/>
      <c r="C3" s="36"/>
      <c r="D3" s="36"/>
    </row>
    <row r="4" spans="1:9" ht="18" thickBot="1" x14ac:dyDescent="0.2">
      <c r="C4" s="64"/>
      <c r="D4" s="64"/>
      <c r="E4" s="65"/>
      <c r="F4" s="65"/>
      <c r="G4" s="65"/>
      <c r="H4" s="65"/>
      <c r="I4" s="43" t="s">
        <v>3</v>
      </c>
    </row>
    <row r="5" spans="1:9" s="66" customFormat="1" ht="18" customHeight="1" x14ac:dyDescent="0.15">
      <c r="A5" s="104" t="s">
        <v>177</v>
      </c>
      <c r="B5" s="105" t="s">
        <v>217</v>
      </c>
      <c r="C5" s="105" t="s">
        <v>224</v>
      </c>
      <c r="D5" s="105" t="s">
        <v>251</v>
      </c>
      <c r="E5" s="106" t="s">
        <v>187</v>
      </c>
      <c r="F5" s="106" t="s">
        <v>211</v>
      </c>
      <c r="G5" s="106" t="s">
        <v>218</v>
      </c>
      <c r="H5" s="106" t="s">
        <v>226</v>
      </c>
      <c r="I5" s="107" t="s">
        <v>247</v>
      </c>
    </row>
    <row r="6" spans="1:9" ht="18" customHeight="1" x14ac:dyDescent="0.15">
      <c r="A6" s="256" t="s">
        <v>394</v>
      </c>
      <c r="B6" s="225">
        <v>108564863</v>
      </c>
      <c r="C6" s="225">
        <v>458162200</v>
      </c>
      <c r="D6" s="225">
        <v>613714606</v>
      </c>
      <c r="E6" s="225">
        <v>842834726</v>
      </c>
      <c r="F6" s="225">
        <v>1116153972</v>
      </c>
      <c r="G6" s="225">
        <v>1573179415</v>
      </c>
      <c r="H6" s="225">
        <v>1910406724</v>
      </c>
      <c r="I6" s="226">
        <v>2371544773</v>
      </c>
    </row>
    <row r="7" spans="1:9" ht="18" customHeight="1" x14ac:dyDescent="0.15">
      <c r="A7" s="256" t="s">
        <v>413</v>
      </c>
      <c r="B7" s="225">
        <v>0</v>
      </c>
      <c r="C7" s="225">
        <v>0</v>
      </c>
      <c r="D7" s="225">
        <v>6568960</v>
      </c>
      <c r="E7" s="225">
        <v>9419620</v>
      </c>
      <c r="F7" s="225">
        <v>12474252</v>
      </c>
      <c r="G7" s="225">
        <v>18346786</v>
      </c>
      <c r="H7" s="225">
        <v>23115668</v>
      </c>
      <c r="I7" s="226">
        <v>30504590</v>
      </c>
    </row>
    <row r="8" spans="1:9" ht="18" customHeight="1" x14ac:dyDescent="0.15">
      <c r="A8" s="256" t="s">
        <v>395</v>
      </c>
      <c r="B8" s="225">
        <v>3014860</v>
      </c>
      <c r="C8" s="227">
        <v>34212750</v>
      </c>
      <c r="D8" s="227">
        <v>56781760</v>
      </c>
      <c r="E8" s="227">
        <v>61324300</v>
      </c>
      <c r="F8" s="227">
        <v>71230200</v>
      </c>
      <c r="G8" s="227">
        <v>90528700</v>
      </c>
      <c r="H8" s="227">
        <v>107250900</v>
      </c>
      <c r="I8" s="228">
        <v>153431000</v>
      </c>
    </row>
    <row r="9" spans="1:9" ht="18" customHeight="1" x14ac:dyDescent="0.15">
      <c r="A9" s="256" t="s">
        <v>396</v>
      </c>
      <c r="B9" s="225">
        <v>11244785</v>
      </c>
      <c r="C9" s="227">
        <v>23943147</v>
      </c>
      <c r="D9" s="227">
        <v>26229871</v>
      </c>
      <c r="E9" s="227">
        <v>30066000</v>
      </c>
      <c r="F9" s="227">
        <v>38030600</v>
      </c>
      <c r="G9" s="227">
        <v>44132700</v>
      </c>
      <c r="H9" s="227">
        <v>55382000</v>
      </c>
      <c r="I9" s="228">
        <v>66788800</v>
      </c>
    </row>
    <row r="10" spans="1:9" ht="18" customHeight="1" x14ac:dyDescent="0.15">
      <c r="A10" s="261" t="s">
        <v>397</v>
      </c>
      <c r="B10" s="225">
        <v>226980</v>
      </c>
      <c r="C10" s="227">
        <v>2454911</v>
      </c>
      <c r="D10" s="227">
        <v>6348436</v>
      </c>
      <c r="E10" s="227">
        <v>6666000</v>
      </c>
      <c r="F10" s="227">
        <v>10999000</v>
      </c>
      <c r="G10" s="227">
        <v>20349000</v>
      </c>
      <c r="H10" s="227">
        <v>40717000</v>
      </c>
      <c r="I10" s="228">
        <v>88102000</v>
      </c>
    </row>
    <row r="11" spans="1:9" ht="18" customHeight="1" x14ac:dyDescent="0.15">
      <c r="A11" s="261" t="s">
        <v>398</v>
      </c>
      <c r="B11" s="225">
        <v>6096420</v>
      </c>
      <c r="C11" s="227">
        <v>26529100</v>
      </c>
      <c r="D11" s="227">
        <v>9277708</v>
      </c>
      <c r="E11" s="227">
        <v>19556000</v>
      </c>
      <c r="F11" s="227">
        <v>29842000</v>
      </c>
      <c r="G11" s="227">
        <v>55137000</v>
      </c>
      <c r="H11" s="227">
        <v>70441000</v>
      </c>
      <c r="I11" s="228">
        <v>100754000</v>
      </c>
    </row>
    <row r="12" spans="1:9" ht="18" customHeight="1" x14ac:dyDescent="0.15">
      <c r="A12" s="262" t="s">
        <v>411</v>
      </c>
      <c r="B12" s="225">
        <v>884300</v>
      </c>
      <c r="C12" s="257">
        <v>0</v>
      </c>
      <c r="D12" s="257">
        <v>0</v>
      </c>
      <c r="E12" s="257">
        <v>0</v>
      </c>
      <c r="F12" s="257">
        <v>0</v>
      </c>
      <c r="G12" s="257">
        <v>0</v>
      </c>
      <c r="H12" s="257">
        <v>0</v>
      </c>
      <c r="I12" s="257">
        <v>0</v>
      </c>
    </row>
    <row r="13" spans="1:9" ht="18" customHeight="1" x14ac:dyDescent="0.15">
      <c r="A13" s="262" t="s">
        <v>412</v>
      </c>
      <c r="B13" s="225">
        <v>468038</v>
      </c>
      <c r="C13" s="257">
        <v>0</v>
      </c>
      <c r="D13" s="257">
        <v>0</v>
      </c>
      <c r="E13" s="257">
        <v>0</v>
      </c>
      <c r="F13" s="257">
        <v>0</v>
      </c>
      <c r="G13" s="257">
        <v>0</v>
      </c>
      <c r="H13" s="257">
        <v>0</v>
      </c>
      <c r="I13" s="257">
        <v>0</v>
      </c>
    </row>
    <row r="14" spans="1:9" ht="18" customHeight="1" x14ac:dyDescent="0.15">
      <c r="A14" s="261" t="s">
        <v>399</v>
      </c>
      <c r="B14" s="225">
        <v>0</v>
      </c>
      <c r="C14" s="227">
        <v>15493100</v>
      </c>
      <c r="D14" s="227">
        <v>2352700</v>
      </c>
      <c r="E14" s="227">
        <v>3423000</v>
      </c>
      <c r="F14" s="227">
        <v>5495000</v>
      </c>
      <c r="G14" s="227">
        <v>7570000</v>
      </c>
      <c r="H14" s="227">
        <v>10647000</v>
      </c>
      <c r="I14" s="228">
        <v>30727000</v>
      </c>
    </row>
    <row r="15" spans="1:9" ht="18" customHeight="1" x14ac:dyDescent="0.15">
      <c r="A15" s="261" t="s">
        <v>400</v>
      </c>
      <c r="B15" s="225">
        <v>2871980</v>
      </c>
      <c r="C15" s="227">
        <v>19799960</v>
      </c>
      <c r="D15" s="227">
        <v>28006050</v>
      </c>
      <c r="E15" s="227">
        <v>29126000</v>
      </c>
      <c r="F15" s="227">
        <v>32291000</v>
      </c>
      <c r="G15" s="227">
        <v>37502000</v>
      </c>
      <c r="H15" s="227">
        <v>43762000</v>
      </c>
      <c r="I15" s="228">
        <v>50072000</v>
      </c>
    </row>
    <row r="16" spans="1:9" ht="18" customHeight="1" x14ac:dyDescent="0.15">
      <c r="A16" s="262" t="s">
        <v>401</v>
      </c>
      <c r="B16" s="225">
        <v>31991209</v>
      </c>
      <c r="C16" s="257">
        <v>14510000</v>
      </c>
      <c r="D16" s="257">
        <v>15250000</v>
      </c>
      <c r="E16" s="257">
        <v>17080000</v>
      </c>
      <c r="F16" s="257">
        <v>34130000</v>
      </c>
      <c r="G16" s="257">
        <v>60417000</v>
      </c>
      <c r="H16" s="257">
        <v>120987000</v>
      </c>
      <c r="I16" s="258">
        <v>300865000</v>
      </c>
    </row>
    <row r="17" spans="1:9" ht="18" customHeight="1" x14ac:dyDescent="0.15">
      <c r="A17" s="262" t="s">
        <v>402</v>
      </c>
      <c r="B17" s="225">
        <v>0</v>
      </c>
      <c r="C17" s="257">
        <v>147666520</v>
      </c>
      <c r="D17" s="257">
        <v>172399988</v>
      </c>
      <c r="E17" s="257">
        <v>189640000</v>
      </c>
      <c r="F17" s="257">
        <v>229460000</v>
      </c>
      <c r="G17" s="257">
        <v>280410000</v>
      </c>
      <c r="H17" s="258">
        <v>489650000</v>
      </c>
      <c r="I17" s="258">
        <v>607650000</v>
      </c>
    </row>
    <row r="18" spans="1:9" ht="18" customHeight="1" x14ac:dyDescent="0.15">
      <c r="A18" s="262" t="s">
        <v>403</v>
      </c>
      <c r="B18" s="225">
        <v>18645181</v>
      </c>
      <c r="C18" s="257">
        <v>543709933</v>
      </c>
      <c r="D18" s="257">
        <v>181148276</v>
      </c>
      <c r="E18" s="257">
        <v>190205000</v>
      </c>
      <c r="F18" s="257">
        <v>289715000</v>
      </c>
      <c r="G18" s="257">
        <v>409700000</v>
      </c>
      <c r="H18" s="257">
        <v>820190000</v>
      </c>
      <c r="I18" s="258">
        <v>1631200000</v>
      </c>
    </row>
    <row r="19" spans="1:9" ht="18" customHeight="1" x14ac:dyDescent="0.15">
      <c r="A19" s="261" t="s">
        <v>404</v>
      </c>
      <c r="B19" s="225">
        <v>6844187</v>
      </c>
      <c r="C19" s="227">
        <v>41970532</v>
      </c>
      <c r="D19" s="227">
        <v>36130134</v>
      </c>
      <c r="E19" s="227">
        <v>37214000</v>
      </c>
      <c r="F19" s="227">
        <v>45330000</v>
      </c>
      <c r="G19" s="227">
        <v>55480000</v>
      </c>
      <c r="H19" s="227">
        <v>70670000</v>
      </c>
      <c r="I19" s="258">
        <v>100890000</v>
      </c>
    </row>
    <row r="20" spans="1:9" ht="18" customHeight="1" x14ac:dyDescent="0.15">
      <c r="A20" s="263" t="s">
        <v>405</v>
      </c>
      <c r="B20" s="225">
        <v>340933</v>
      </c>
      <c r="C20" s="259">
        <v>951029</v>
      </c>
      <c r="D20" s="259">
        <v>654217</v>
      </c>
      <c r="E20" s="259">
        <v>674800</v>
      </c>
      <c r="F20" s="259">
        <v>805000</v>
      </c>
      <c r="G20" s="259">
        <v>1616000</v>
      </c>
      <c r="H20" s="259">
        <v>2537000</v>
      </c>
      <c r="I20" s="260">
        <v>5759000</v>
      </c>
    </row>
    <row r="21" spans="1:9" ht="18" customHeight="1" x14ac:dyDescent="0.15">
      <c r="A21" s="263" t="s">
        <v>406</v>
      </c>
      <c r="B21" s="225">
        <v>1292200</v>
      </c>
      <c r="C21" s="259">
        <v>1979842</v>
      </c>
      <c r="D21" s="259">
        <v>801540</v>
      </c>
      <c r="E21" s="259">
        <v>825600</v>
      </c>
      <c r="F21" s="259">
        <v>850000</v>
      </c>
      <c r="G21" s="259">
        <v>875000</v>
      </c>
      <c r="H21" s="259">
        <v>901000</v>
      </c>
      <c r="I21" s="260">
        <v>928000</v>
      </c>
    </row>
    <row r="22" spans="1:9" ht="18" customHeight="1" x14ac:dyDescent="0.15">
      <c r="A22" s="263" t="s">
        <v>407</v>
      </c>
      <c r="B22" s="225">
        <v>0</v>
      </c>
      <c r="C22" s="259">
        <v>1560000</v>
      </c>
      <c r="D22" s="259">
        <v>72637</v>
      </c>
      <c r="E22" s="259">
        <v>74800</v>
      </c>
      <c r="F22" s="259">
        <v>147000</v>
      </c>
      <c r="G22" s="259">
        <v>289000</v>
      </c>
      <c r="H22" s="259">
        <v>561000</v>
      </c>
      <c r="I22" s="260">
        <v>1083000</v>
      </c>
    </row>
    <row r="23" spans="1:9" ht="18" customHeight="1" x14ac:dyDescent="0.15">
      <c r="A23" s="263" t="s">
        <v>408</v>
      </c>
      <c r="B23" s="225">
        <v>5800</v>
      </c>
      <c r="C23" s="259">
        <v>13740</v>
      </c>
      <c r="D23" s="259">
        <v>0</v>
      </c>
      <c r="E23" s="259">
        <v>0</v>
      </c>
      <c r="F23" s="259">
        <v>0</v>
      </c>
      <c r="G23" s="259">
        <v>0</v>
      </c>
      <c r="H23" s="259">
        <v>0</v>
      </c>
      <c r="I23" s="259">
        <v>0</v>
      </c>
    </row>
    <row r="24" spans="1:9" ht="18" customHeight="1" x14ac:dyDescent="0.15">
      <c r="A24" s="263" t="s">
        <v>409</v>
      </c>
      <c r="B24" s="225">
        <v>320955</v>
      </c>
      <c r="C24" s="259">
        <v>708278</v>
      </c>
      <c r="D24" s="259">
        <v>29590</v>
      </c>
      <c r="E24" s="259">
        <v>30500</v>
      </c>
      <c r="F24" s="259">
        <v>61400</v>
      </c>
      <c r="G24" s="259">
        <v>122300</v>
      </c>
      <c r="H24" s="259">
        <v>243300</v>
      </c>
      <c r="I24" s="260">
        <v>384300</v>
      </c>
    </row>
    <row r="25" spans="1:9" ht="18" customHeight="1" x14ac:dyDescent="0.15">
      <c r="A25" s="263" t="s">
        <v>410</v>
      </c>
      <c r="B25" s="225">
        <v>106818</v>
      </c>
      <c r="C25" s="259">
        <v>59273</v>
      </c>
      <c r="D25" s="259">
        <v>9091</v>
      </c>
      <c r="E25" s="259">
        <v>9400</v>
      </c>
      <c r="F25" s="259">
        <v>19700</v>
      </c>
      <c r="G25" s="259">
        <v>50000</v>
      </c>
      <c r="H25" s="259">
        <v>110300</v>
      </c>
      <c r="I25" s="260">
        <v>310600</v>
      </c>
    </row>
    <row r="26" spans="1:9" ht="18" customHeight="1" x14ac:dyDescent="0.15">
      <c r="A26" s="263" t="s">
        <v>414</v>
      </c>
      <c r="B26" s="225">
        <v>0</v>
      </c>
      <c r="C26" s="259">
        <v>0</v>
      </c>
      <c r="D26" s="259">
        <v>67719612</v>
      </c>
      <c r="E26" s="259">
        <v>72460000</v>
      </c>
      <c r="F26" s="259">
        <v>77530000</v>
      </c>
      <c r="G26" s="259">
        <v>83000000</v>
      </c>
      <c r="H26" s="259">
        <v>88810000</v>
      </c>
      <c r="I26" s="260">
        <v>95030000</v>
      </c>
    </row>
    <row r="27" spans="1:9" ht="18" customHeight="1" x14ac:dyDescent="0.15">
      <c r="A27" s="264" t="s">
        <v>147</v>
      </c>
      <c r="B27" s="225">
        <v>4500000</v>
      </c>
      <c r="C27" s="229">
        <v>59785273</v>
      </c>
      <c r="D27" s="229">
        <v>217297348</v>
      </c>
      <c r="E27" s="229">
        <v>221640000</v>
      </c>
      <c r="F27" s="229">
        <v>286070000</v>
      </c>
      <c r="G27" s="229">
        <v>330590000</v>
      </c>
      <c r="H27" s="259">
        <v>435200000</v>
      </c>
      <c r="I27" s="230">
        <v>539900000</v>
      </c>
    </row>
    <row r="28" spans="1:9" ht="18" customHeight="1" thickBot="1" x14ac:dyDescent="0.2">
      <c r="A28" s="108" t="s">
        <v>178</v>
      </c>
      <c r="B28" s="231">
        <f t="shared" ref="B28:I28" si="0">SUM(B6:B27)</f>
        <v>197419509</v>
      </c>
      <c r="C28" s="231">
        <f t="shared" si="0"/>
        <v>1393509588</v>
      </c>
      <c r="D28" s="231">
        <f t="shared" si="0"/>
        <v>1440792524</v>
      </c>
      <c r="E28" s="231">
        <f t="shared" si="0"/>
        <v>1732269746</v>
      </c>
      <c r="F28" s="231">
        <f t="shared" si="0"/>
        <v>2280634124</v>
      </c>
      <c r="G28" s="231">
        <f t="shared" ref="G28:H28" si="1">SUM(G6:G27)</f>
        <v>3069294901</v>
      </c>
      <c r="H28" s="231">
        <f t="shared" si="1"/>
        <v>4291581892</v>
      </c>
      <c r="I28" s="232">
        <f t="shared" si="0"/>
        <v>6175924063</v>
      </c>
    </row>
    <row r="31" spans="1:9" x14ac:dyDescent="0.15">
      <c r="A31" s="36" t="s">
        <v>179</v>
      </c>
    </row>
    <row r="32" spans="1:9" ht="180" customHeight="1" x14ac:dyDescent="0.15">
      <c r="A32" s="388" t="s">
        <v>463</v>
      </c>
      <c r="B32" s="389"/>
      <c r="C32" s="389"/>
      <c r="D32" s="389"/>
      <c r="E32" s="389"/>
      <c r="F32" s="389"/>
      <c r="G32" s="389"/>
      <c r="H32" s="389"/>
      <c r="I32" s="389"/>
    </row>
    <row r="33" spans="1:9" ht="180" customHeight="1" x14ac:dyDescent="0.15">
      <c r="A33" s="389"/>
      <c r="B33" s="389"/>
      <c r="C33" s="389"/>
      <c r="D33" s="389"/>
      <c r="E33" s="389"/>
      <c r="F33" s="389"/>
      <c r="G33" s="389"/>
      <c r="H33" s="389"/>
      <c r="I33" s="389"/>
    </row>
    <row r="34" spans="1:9" ht="180" customHeight="1" x14ac:dyDescent="0.15">
      <c r="A34" s="389"/>
      <c r="B34" s="389"/>
      <c r="C34" s="389"/>
      <c r="D34" s="389"/>
      <c r="E34" s="389"/>
      <c r="F34" s="389"/>
      <c r="G34" s="389"/>
      <c r="H34" s="389"/>
      <c r="I34" s="389"/>
    </row>
  </sheetData>
  <mergeCells count="1">
    <mergeCell ref="A32:I34"/>
  </mergeCells>
  <phoneticPr fontId="2" type="noConversion"/>
  <pageMargins left="0.7" right="0.7" top="0.75" bottom="0.75" header="0.3" footer="0.3"/>
  <pageSetup paperSize="9" scale="9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5"/>
  <sheetViews>
    <sheetView zoomScaleSheetLayoutView="85" workbookViewId="0">
      <selection activeCell="F21" sqref="F21"/>
    </sheetView>
  </sheetViews>
  <sheetFormatPr defaultColWidth="8.88671875" defaultRowHeight="17.25" x14ac:dyDescent="0.15"/>
  <cols>
    <col min="1" max="1" width="14.88671875" style="37" customWidth="1"/>
    <col min="2" max="2" width="20.44140625" style="37" bestFit="1" customWidth="1"/>
    <col min="3" max="10" width="14.109375" style="37" customWidth="1"/>
    <col min="11" max="11" width="14.33203125" style="37" customWidth="1"/>
    <col min="12" max="12" width="12.21875" style="37" customWidth="1"/>
    <col min="13" max="13" width="13.77734375" style="37" customWidth="1"/>
    <col min="14" max="14" width="12.109375" style="37" customWidth="1"/>
    <col min="15" max="16384" width="8.88671875" style="37"/>
  </cols>
  <sheetData>
    <row r="1" spans="1:12" ht="20.25" x14ac:dyDescent="0.15">
      <c r="A1" s="6" t="s">
        <v>180</v>
      </c>
    </row>
    <row r="2" spans="1:12" ht="24" customHeight="1" thickBot="1" x14ac:dyDescent="0.2">
      <c r="J2" s="43" t="s">
        <v>3</v>
      </c>
    </row>
    <row r="3" spans="1:12" ht="24" customHeight="1" x14ac:dyDescent="0.15">
      <c r="A3" s="390" t="s">
        <v>4</v>
      </c>
      <c r="B3" s="391"/>
      <c r="C3" s="105" t="s">
        <v>217</v>
      </c>
      <c r="D3" s="105" t="s">
        <v>224</v>
      </c>
      <c r="E3" s="105" t="s">
        <v>250</v>
      </c>
      <c r="F3" s="106" t="s">
        <v>187</v>
      </c>
      <c r="G3" s="106" t="s">
        <v>211</v>
      </c>
      <c r="H3" s="106" t="s">
        <v>218</v>
      </c>
      <c r="I3" s="106" t="s">
        <v>226</v>
      </c>
      <c r="J3" s="107" t="s">
        <v>246</v>
      </c>
    </row>
    <row r="4" spans="1:12" ht="24" customHeight="1" x14ac:dyDescent="0.15">
      <c r="A4" s="392" t="s">
        <v>33</v>
      </c>
      <c r="B4" s="67" t="s">
        <v>34</v>
      </c>
      <c r="C4" s="221">
        <v>22914</v>
      </c>
      <c r="D4" s="221">
        <v>161721</v>
      </c>
      <c r="E4" s="221">
        <v>219055</v>
      </c>
      <c r="F4" s="267">
        <v>230000</v>
      </c>
      <c r="G4" s="267">
        <v>242000</v>
      </c>
      <c r="H4" s="267">
        <v>254000</v>
      </c>
      <c r="I4" s="267">
        <v>267000</v>
      </c>
      <c r="J4" s="268">
        <v>280000</v>
      </c>
    </row>
    <row r="5" spans="1:12" ht="24" customHeight="1" x14ac:dyDescent="0.15">
      <c r="A5" s="392"/>
      <c r="B5" s="67" t="s">
        <v>35</v>
      </c>
      <c r="C5" s="222">
        <v>38628553</v>
      </c>
      <c r="D5" s="222">
        <v>407963133</v>
      </c>
      <c r="E5" s="222">
        <v>475136146</v>
      </c>
      <c r="F5" s="267">
        <v>513147000</v>
      </c>
      <c r="G5" s="267">
        <v>554199000</v>
      </c>
      <c r="H5" s="267">
        <v>598535000</v>
      </c>
      <c r="I5" s="267">
        <v>646418000</v>
      </c>
      <c r="J5" s="268">
        <v>698131000</v>
      </c>
    </row>
    <row r="6" spans="1:12" ht="24" customHeight="1" x14ac:dyDescent="0.15">
      <c r="A6" s="392" t="s">
        <v>36</v>
      </c>
      <c r="B6" s="67" t="s">
        <v>37</v>
      </c>
      <c r="C6" s="223">
        <v>0</v>
      </c>
      <c r="D6" s="223">
        <v>13265623</v>
      </c>
      <c r="E6" s="223">
        <v>27147784</v>
      </c>
      <c r="F6" s="267">
        <v>24000000</v>
      </c>
      <c r="G6" s="267">
        <v>21600000</v>
      </c>
      <c r="H6" s="267">
        <v>19440000</v>
      </c>
      <c r="I6" s="267">
        <v>17496000</v>
      </c>
      <c r="J6" s="268">
        <v>15746000</v>
      </c>
    </row>
    <row r="7" spans="1:12" ht="24" customHeight="1" x14ac:dyDescent="0.15">
      <c r="A7" s="392"/>
      <c r="B7" s="67" t="s">
        <v>38</v>
      </c>
      <c r="C7" s="223">
        <v>1032696</v>
      </c>
      <c r="D7" s="223">
        <v>3835</v>
      </c>
      <c r="E7" s="223">
        <v>976587</v>
      </c>
      <c r="F7" s="267">
        <v>1006000</v>
      </c>
      <c r="G7" s="267">
        <v>1036000</v>
      </c>
      <c r="H7" s="267">
        <v>1067000</v>
      </c>
      <c r="I7" s="267">
        <v>1099000</v>
      </c>
      <c r="J7" s="268">
        <v>1132000</v>
      </c>
    </row>
    <row r="8" spans="1:12" ht="24" customHeight="1" thickBot="1" x14ac:dyDescent="0.2">
      <c r="A8" s="393"/>
      <c r="B8" s="109" t="s">
        <v>45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</row>
    <row r="9" spans="1:12" ht="24" customHeight="1" x14ac:dyDescent="0.15">
      <c r="A9" s="68"/>
      <c r="C9" s="72"/>
      <c r="D9" s="73"/>
      <c r="E9" s="73"/>
    </row>
    <row r="10" spans="1:12" ht="24" customHeight="1" x14ac:dyDescent="0.15">
      <c r="A10" s="36" t="s">
        <v>39</v>
      </c>
      <c r="B10" s="69"/>
      <c r="C10" s="72"/>
      <c r="D10" s="73"/>
      <c r="E10" s="73"/>
    </row>
    <row r="11" spans="1:12" ht="220.5" customHeight="1" x14ac:dyDescent="0.15">
      <c r="A11" s="388" t="s">
        <v>434</v>
      </c>
      <c r="B11" s="389"/>
      <c r="C11" s="389"/>
      <c r="D11" s="389"/>
      <c r="E11" s="389"/>
      <c r="F11" s="389"/>
      <c r="G11" s="389"/>
      <c r="H11" s="389"/>
      <c r="I11" s="389"/>
      <c r="J11" s="389"/>
    </row>
    <row r="12" spans="1:12" ht="24" customHeight="1" x14ac:dyDescent="0.15">
      <c r="A12" s="36" t="s">
        <v>40</v>
      </c>
      <c r="C12" s="72"/>
      <c r="D12" s="73"/>
      <c r="E12" s="73"/>
    </row>
    <row r="13" spans="1:12" ht="234" customHeight="1" x14ac:dyDescent="0.15">
      <c r="A13" s="388" t="s">
        <v>433</v>
      </c>
      <c r="B13" s="389"/>
      <c r="C13" s="389"/>
      <c r="D13" s="389"/>
      <c r="E13" s="389"/>
      <c r="F13" s="389"/>
      <c r="G13" s="389"/>
      <c r="H13" s="389"/>
      <c r="I13" s="389"/>
      <c r="J13" s="389"/>
    </row>
    <row r="14" spans="1:12" ht="24" customHeight="1" x14ac:dyDescent="0.15">
      <c r="B14" s="69"/>
      <c r="C14" s="72"/>
      <c r="D14" s="73"/>
      <c r="E14" s="73"/>
    </row>
    <row r="15" spans="1:12" ht="15.75" customHeight="1" x14ac:dyDescent="0.15">
      <c r="C15" s="66"/>
      <c r="D15" s="74"/>
      <c r="E15" s="74"/>
    </row>
    <row r="16" spans="1:12" ht="15.75" customHeight="1" x14ac:dyDescent="0.15">
      <c r="G16" s="70"/>
      <c r="H16" s="70"/>
      <c r="I16" s="70"/>
      <c r="J16" s="40"/>
      <c r="K16" s="70"/>
      <c r="L16" s="40"/>
    </row>
    <row r="17" spans="2:2" ht="16.5" customHeight="1" x14ac:dyDescent="0.15">
      <c r="B17" s="69"/>
    </row>
    <row r="18" spans="2:2" ht="15.75" customHeight="1" x14ac:dyDescent="0.15"/>
    <row r="19" spans="2:2" ht="15.75" customHeight="1" x14ac:dyDescent="0.15"/>
    <row r="20" spans="2:2" ht="15.75" customHeight="1" x14ac:dyDescent="0.15"/>
    <row r="21" spans="2:2" ht="15.75" customHeight="1" x14ac:dyDescent="0.15"/>
    <row r="22" spans="2:2" ht="15.75" customHeight="1" x14ac:dyDescent="0.15"/>
    <row r="23" spans="2:2" ht="15.75" customHeight="1" x14ac:dyDescent="0.15"/>
    <row r="24" spans="2:2" ht="15.75" customHeight="1" x14ac:dyDescent="0.15"/>
    <row r="25" spans="2:2" ht="15.75" customHeight="1" x14ac:dyDescent="0.15"/>
    <row r="26" spans="2:2" ht="15.75" customHeight="1" x14ac:dyDescent="0.15"/>
    <row r="27" spans="2:2" ht="15.75" customHeight="1" x14ac:dyDescent="0.15"/>
    <row r="28" spans="2:2" ht="15.75" customHeight="1" x14ac:dyDescent="0.15"/>
    <row r="29" spans="2:2" ht="15.75" customHeight="1" x14ac:dyDescent="0.15"/>
    <row r="30" spans="2:2" ht="15.75" customHeight="1" x14ac:dyDescent="0.15"/>
    <row r="31" spans="2:2" ht="15.75" customHeight="1" x14ac:dyDescent="0.15"/>
    <row r="32" spans="2: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</sheetData>
  <mergeCells count="5">
    <mergeCell ref="A3:B3"/>
    <mergeCell ref="A4:A5"/>
    <mergeCell ref="A6:A8"/>
    <mergeCell ref="A11:J11"/>
    <mergeCell ref="A13:J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요청자료 목록</vt:lpstr>
      <vt:lpstr>자료작성</vt:lpstr>
      <vt:lpstr>사업성분석 등</vt:lpstr>
      <vt:lpstr>추정손익계산서</vt:lpstr>
      <vt:lpstr>매출액추정</vt:lpstr>
      <vt:lpstr>제조원가추정</vt:lpstr>
      <vt:lpstr>판관비추정</vt:lpstr>
      <vt:lpstr>영업외수익,비용</vt:lpstr>
      <vt:lpstr>'요청자료 목록'!Print_Area</vt:lpstr>
      <vt:lpstr>제조원가추정!Print_Area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김성현</dc:creator>
  <cp:lastModifiedBy>관리자</cp:lastModifiedBy>
  <cp:lastPrinted>2015-04-13T00:34:09Z</cp:lastPrinted>
  <dcterms:created xsi:type="dcterms:W3CDTF">2007-10-08T07:04:34Z</dcterms:created>
  <dcterms:modified xsi:type="dcterms:W3CDTF">2025-09-04T13:51:16Z</dcterms:modified>
</cp:coreProperties>
</file>